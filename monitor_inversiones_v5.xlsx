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istorico" sheetId="2" state="visible" r:id="rId2"/>
    <sheet xmlns:r="http://schemas.openxmlformats.org/officeDocument/2006/relationships" name="Analytics" sheetId="3" state="visible" r:id="rId3"/>
    <sheet xmlns:r="http://schemas.openxmlformats.org/officeDocument/2006/relationships" name="Resumen" sheetId="4" state="visible" r:id="rId4"/>
    <sheet xmlns:r="http://schemas.openxmlformats.org/officeDocument/2006/relationships" name="Balanz" sheetId="5" state="visible" r:id="rId5"/>
    <sheet xmlns:r="http://schemas.openxmlformats.org/officeDocument/2006/relationships" name="Provincia" sheetId="6" state="visible" r:id="rId6"/>
    <sheet xmlns:r="http://schemas.openxmlformats.org/officeDocument/2006/relationships" name="Instrucciones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0.0%"/>
    <numFmt numFmtId="165" formatCode="0.0"/>
    <numFmt numFmtId="166" formatCode="\$#,##0"/>
    <numFmt numFmtId="167" formatCode="dd/mm/yyyy"/>
    <numFmt numFmtId="168" formatCode="\$#,##0;[RED]&quot;($&quot;#,##0\)"/>
    <numFmt numFmtId="169" formatCode="#,##0;[RED]\(#,##0\);\-"/>
    <numFmt numFmtId="170" formatCode="0.00%;[RED]\-0.00%;\-"/>
    <numFmt numFmtId="171" formatCode="&quot;$ &quot;#,##0"/>
    <numFmt numFmtId="172" formatCode="&quot;USD &quot;#,##0"/>
  </numFmts>
  <fonts count="3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B2A4A"/>
      <sz val="16"/>
    </font>
    <font>
      <name val="Arial"/>
      <charset val="1"/>
      <family val="0"/>
      <color rgb="FF888888"/>
      <sz val="9"/>
    </font>
    <font>
      <name val="Arial"/>
      <charset val="1"/>
      <family val="0"/>
      <b val="1"/>
      <color rgb="FF1B2A4A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CC0000"/>
      <sz val="14"/>
    </font>
    <font>
      <name val="Arial"/>
      <charset val="1"/>
      <family val="0"/>
      <b val="1"/>
      <color rgb="FF856404"/>
      <sz val="10"/>
    </font>
    <font>
      <name val="Arial"/>
      <charset val="1"/>
      <family val="0"/>
      <b val="1"/>
      <color rgb="FFCC0000"/>
      <sz val="12"/>
    </font>
    <font>
      <name val="Arial"/>
      <charset val="1"/>
      <family val="0"/>
      <b val="1"/>
      <color rgb="FF1B2A4A"/>
      <sz val="14"/>
    </font>
    <font>
      <name val="Arial"/>
      <charset val="1"/>
      <family val="0"/>
      <b val="1"/>
      <color rgb="FF1B2A4A"/>
      <sz val="18"/>
    </font>
    <font>
      <name val="Arial"/>
      <charset val="1"/>
      <family val="0"/>
      <b val="1"/>
      <color rgb="FFFF8C00"/>
      <sz val="18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F4E78"/>
      <sz val="14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1F4E78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8C00"/>
      <sz val="11"/>
    </font>
    <font>
      <name val="Arial"/>
      <charset val="1"/>
      <family val="0"/>
      <b val="1"/>
      <color rgb="FF00800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color rgb="FF008000"/>
      <sz val="14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22C55E"/>
      <sz val="14"/>
    </font>
    <font>
      <name val="Arial"/>
      <charset val="1"/>
      <family val="0"/>
      <b val="1"/>
      <color rgb="FFCC0000"/>
      <sz val="11"/>
    </font>
  </fonts>
  <fills count="12">
    <fill>
      <patternFill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3CD"/>
        <bgColor rgb="FFE8EDF5"/>
      </patternFill>
    </fill>
    <fill>
      <patternFill patternType="solid">
        <fgColor rgb="FFF8D7DA"/>
        <bgColor rgb="FFD9D9D9"/>
      </patternFill>
    </fill>
    <fill>
      <patternFill patternType="solid">
        <fgColor rgb="FFD4EDDA"/>
        <bgColor rgb="FFDEEBF7"/>
      </patternFill>
    </fill>
    <fill>
      <patternFill patternType="solid">
        <fgColor rgb="FFE8EDF5"/>
        <bgColor rgb="FFDEEBF7"/>
      </patternFill>
    </fill>
    <fill>
      <patternFill patternType="solid">
        <fgColor rgb="FF1F4E78"/>
        <bgColor rgb="FF003366"/>
      </patternFill>
    </fill>
    <fill>
      <patternFill patternType="solid">
        <fgColor rgb="FF5B9BD5"/>
        <bgColor rgb="FF4299B0"/>
      </patternFill>
    </fill>
    <fill>
      <patternFill patternType="solid">
        <fgColor rgb="FF2E75B6"/>
        <bgColor rgb="FF4672A8"/>
      </patternFill>
    </fill>
    <fill>
      <patternFill patternType="solid">
        <fgColor rgb="FFDEEBF7"/>
        <bgColor rgb="FFE8EDF5"/>
      </patternFill>
    </fill>
    <fill>
      <patternFill patternType="solid">
        <fgColor rgb="FFD0DCF0"/>
        <bgColor rgb="FFD0D5DD"/>
      </patternFill>
    </fill>
  </fills>
  <borders count="3">
    <border>
      <left/>
      <right/>
      <top/>
      <bottom/>
      <diagonal/>
    </border>
    <border>
      <left/>
      <right/>
      <top/>
      <bottom style="thin">
        <color rgb="FFD0D5DD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2" fontId="8" fillId="0" borderId="1" applyAlignment="1" pivotButton="0" quotePrefix="0" xfId="0">
      <alignment horizontal="general" vertical="bottom"/>
    </xf>
    <xf numFmtId="0" fontId="9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2" fontId="6" fillId="6" borderId="0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3" fontId="13" fillId="6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7" borderId="0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166" fontId="18" fillId="0" borderId="2" applyAlignment="1" pivotButton="0" quotePrefix="0" xfId="0">
      <alignment horizontal="center" vertical="center"/>
    </xf>
    <xf numFmtId="10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general" vertical="bottom"/>
    </xf>
    <xf numFmtId="167" fontId="8" fillId="0" borderId="2" applyAlignment="1" pivotButton="0" quotePrefix="0" xfId="0">
      <alignment horizontal="center" vertical="center"/>
    </xf>
    <xf numFmtId="166" fontId="8" fillId="0" borderId="2" applyAlignment="1" pivotButton="0" quotePrefix="0" xfId="0">
      <alignment horizontal="general" vertical="bottom"/>
    </xf>
    <xf numFmtId="168" fontId="8" fillId="0" borderId="2" applyAlignment="1" pivotButton="0" quotePrefix="0" xfId="0">
      <alignment horizontal="general" vertical="bottom"/>
    </xf>
    <xf numFmtId="10" fontId="8" fillId="0" borderId="2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center"/>
    </xf>
    <xf numFmtId="166" fontId="22" fillId="0" borderId="2" applyAlignment="1" pivotButton="0" quotePrefix="0" xfId="0">
      <alignment horizontal="right" vertical="center"/>
    </xf>
    <xf numFmtId="168" fontId="22" fillId="0" borderId="2" applyAlignment="1" pivotButton="0" quotePrefix="0" xfId="0">
      <alignment horizontal="right" vertical="center"/>
    </xf>
    <xf numFmtId="10" fontId="22" fillId="0" borderId="2" applyAlignment="1" pivotButton="0" quotePrefix="0" xfId="0">
      <alignment horizontal="right" vertical="center"/>
    </xf>
    <xf numFmtId="1" fontId="22" fillId="0" borderId="2" applyAlignment="1" pivotButton="0" quotePrefix="0" xfId="0">
      <alignment horizontal="right" vertical="center"/>
    </xf>
    <xf numFmtId="167" fontId="22" fillId="0" borderId="2" applyAlignment="1" pivotButton="0" quotePrefix="0" xfId="0">
      <alignment horizontal="right" vertical="center"/>
    </xf>
    <xf numFmtId="0" fontId="23" fillId="9" borderId="0" applyAlignment="1" pivotButton="0" quotePrefix="0" xfId="0">
      <alignment horizontal="center" vertical="center"/>
    </xf>
    <xf numFmtId="0" fontId="8" fillId="0" borderId="2" applyAlignment="1" pivotButton="0" quotePrefix="0" xfId="0">
      <alignment horizontal="general" vertical="bottom"/>
    </xf>
    <xf numFmtId="0" fontId="9" fillId="10" borderId="2" applyAlignment="1" pivotButton="0" quotePrefix="0" xfId="0">
      <alignment horizontal="general" vertical="bottom"/>
    </xf>
    <xf numFmtId="166" fontId="9" fillId="10" borderId="2" applyAlignment="1" pivotButton="0" quotePrefix="0" xfId="0">
      <alignment horizontal="general" vertical="bottom"/>
    </xf>
    <xf numFmtId="10" fontId="9" fillId="10" borderId="2" applyAlignment="1" pivotButton="0" quotePrefix="0" xfId="0">
      <alignment horizontal="general" vertical="bottom"/>
    </xf>
    <xf numFmtId="1" fontId="8" fillId="0" borderId="2" applyAlignment="1" pivotButton="0" quotePrefix="0" xfId="0">
      <alignment horizontal="general" vertical="bottom"/>
    </xf>
    <xf numFmtId="2" fontId="8" fillId="0" borderId="2" applyAlignment="1" pivotButton="0" quotePrefix="0" xfId="0">
      <alignment horizontal="general" vertical="bottom"/>
    </xf>
    <xf numFmtId="1" fontId="9" fillId="10" borderId="2" applyAlignment="1" pivotButton="0" quotePrefix="0" xfId="0">
      <alignment horizontal="general" vertical="bottom"/>
    </xf>
    <xf numFmtId="2" fontId="9" fillId="10" borderId="2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9" fillId="0" borderId="2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3" fontId="25" fillId="0" borderId="1" applyAlignment="1" pivotButton="0" quotePrefix="0" xfId="0">
      <alignment horizontal="general" vertical="bottom"/>
    </xf>
    <xf numFmtId="10" fontId="25" fillId="0" borderId="1" applyAlignment="1" pivotButton="0" quotePrefix="0" xfId="0">
      <alignment horizontal="general" vertical="bottom"/>
    </xf>
    <xf numFmtId="10" fontId="26" fillId="0" borderId="1" applyAlignment="1" pivotButton="0" quotePrefix="0" xfId="0">
      <alignment horizontal="general" vertical="bottom"/>
    </xf>
    <xf numFmtId="0" fontId="13" fillId="11" borderId="0" applyAlignment="1" pivotButton="0" quotePrefix="0" xfId="0">
      <alignment horizontal="general" vertical="bottom"/>
    </xf>
    <xf numFmtId="3" fontId="27" fillId="11" borderId="0" applyAlignment="1" pivotButton="0" quotePrefix="0" xfId="0">
      <alignment horizontal="general" vertical="bottom"/>
    </xf>
    <xf numFmtId="3" fontId="0" fillId="11" borderId="0" applyAlignment="1" pivotButton="0" quotePrefix="0" xfId="0">
      <alignment horizontal="general" vertical="bottom"/>
    </xf>
    <xf numFmtId="3" fontId="28" fillId="11" borderId="0" applyAlignment="1" pivotButton="0" quotePrefix="0" xfId="0">
      <alignment horizontal="general" vertical="bottom"/>
    </xf>
    <xf numFmtId="10" fontId="0" fillId="11" borderId="0" applyAlignment="1" pivotButton="0" quotePrefix="0" xfId="0">
      <alignment horizontal="general" vertical="bottom"/>
    </xf>
    <xf numFmtId="4" fontId="29" fillId="0" borderId="1" applyAlignment="1" pivotButton="0" quotePrefix="0" xfId="0">
      <alignment horizontal="general" vertical="bottom"/>
    </xf>
    <xf numFmtId="4" fontId="25" fillId="0" borderId="1" applyAlignment="1" pivotButton="0" quotePrefix="0" xfId="0">
      <alignment horizontal="general" vertical="bottom"/>
    </xf>
    <xf numFmtId="169" fontId="8" fillId="0" borderId="1" applyAlignment="1" pivotButton="0" quotePrefix="0" xfId="0">
      <alignment horizontal="general" vertical="bottom"/>
    </xf>
    <xf numFmtId="170" fontId="8" fillId="0" borderId="1" applyAlignment="1" pivotButton="0" quotePrefix="0" xfId="0">
      <alignment horizontal="general" vertical="bottom"/>
    </xf>
    <xf numFmtId="170" fontId="5" fillId="0" borderId="1" applyAlignment="1" pivotButton="0" quotePrefix="0" xfId="0">
      <alignment horizontal="general" vertical="bottom"/>
    </xf>
    <xf numFmtId="10" fontId="8" fillId="0" borderId="1" applyAlignment="1" pivotButton="0" quotePrefix="0" xfId="0">
      <alignment horizontal="general" vertical="bottom"/>
    </xf>
    <xf numFmtId="3" fontId="9" fillId="6" borderId="0" applyAlignment="1" pivotButton="0" quotePrefix="0" xfId="0">
      <alignment horizontal="general" vertical="bottom"/>
    </xf>
    <xf numFmtId="10" fontId="9" fillId="6" borderId="0" applyAlignment="1" pivotButton="0" quotePrefix="0" xfId="0">
      <alignment horizontal="general" vertical="bottom"/>
    </xf>
    <xf numFmtId="4" fontId="5" fillId="0" borderId="1" applyAlignment="1" pivotButton="0" quotePrefix="0" xfId="0">
      <alignment horizontal="general" vertical="bottom"/>
    </xf>
    <xf numFmtId="4" fontId="8" fillId="0" borderId="1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71" fontId="9" fillId="0" borderId="1" applyAlignment="1" pivotButton="0" quotePrefix="0" xfId="0">
      <alignment horizontal="general" vertical="bottom"/>
    </xf>
    <xf numFmtId="172" fontId="9" fillId="0" borderId="1" applyAlignment="1" pivotButton="0" quotePrefix="0" xfId="0">
      <alignment horizontal="general" vertical="bottom"/>
    </xf>
    <xf numFmtId="0" fontId="11" fillId="3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2" fontId="8" fillId="0" borderId="1" applyAlignment="1" pivotButton="0" quotePrefix="0" xfId="0">
      <alignment horizontal="general" vertical="bottom"/>
    </xf>
    <xf numFmtId="0" fontId="9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2" fontId="6" fillId="6" borderId="0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3" fontId="13" fillId="6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7" borderId="0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166" fontId="18" fillId="0" borderId="2" applyAlignment="1" pivotButton="0" quotePrefix="0" xfId="0">
      <alignment horizontal="center" vertical="center"/>
    </xf>
    <xf numFmtId="10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general" vertical="bottom"/>
    </xf>
    <xf numFmtId="167" fontId="8" fillId="0" borderId="2" applyAlignment="1" pivotButton="0" quotePrefix="0" xfId="0">
      <alignment horizontal="center" vertical="center"/>
    </xf>
    <xf numFmtId="166" fontId="8" fillId="0" borderId="2" applyAlignment="1" pivotButton="0" quotePrefix="0" xfId="0">
      <alignment horizontal="general" vertical="bottom"/>
    </xf>
    <xf numFmtId="168" fontId="8" fillId="0" borderId="2" applyAlignment="1" pivotButton="0" quotePrefix="0" xfId="0">
      <alignment horizontal="general" vertical="bottom"/>
    </xf>
    <xf numFmtId="10" fontId="8" fillId="0" borderId="2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center"/>
    </xf>
    <xf numFmtId="166" fontId="22" fillId="0" borderId="2" applyAlignment="1" pivotButton="0" quotePrefix="0" xfId="0">
      <alignment horizontal="right" vertical="center"/>
    </xf>
    <xf numFmtId="168" fontId="22" fillId="0" borderId="2" applyAlignment="1" pivotButton="0" quotePrefix="0" xfId="0">
      <alignment horizontal="right" vertical="center"/>
    </xf>
    <xf numFmtId="10" fontId="22" fillId="0" borderId="2" applyAlignment="1" pivotButton="0" quotePrefix="0" xfId="0">
      <alignment horizontal="right" vertical="center"/>
    </xf>
    <xf numFmtId="1" fontId="22" fillId="0" borderId="2" applyAlignment="1" pivotButton="0" quotePrefix="0" xfId="0">
      <alignment horizontal="right" vertical="center"/>
    </xf>
    <xf numFmtId="167" fontId="22" fillId="0" borderId="2" applyAlignment="1" pivotButton="0" quotePrefix="0" xfId="0">
      <alignment horizontal="right" vertical="center"/>
    </xf>
    <xf numFmtId="0" fontId="23" fillId="9" borderId="0" applyAlignment="1" pivotButton="0" quotePrefix="0" xfId="0">
      <alignment horizontal="center" vertical="center"/>
    </xf>
    <xf numFmtId="0" fontId="8" fillId="0" borderId="2" applyAlignment="1" pivotButton="0" quotePrefix="0" xfId="0">
      <alignment horizontal="general" vertical="bottom"/>
    </xf>
    <xf numFmtId="0" fontId="9" fillId="10" borderId="2" applyAlignment="1" pivotButton="0" quotePrefix="0" xfId="0">
      <alignment horizontal="general" vertical="bottom"/>
    </xf>
    <xf numFmtId="166" fontId="9" fillId="10" borderId="2" applyAlignment="1" pivotButton="0" quotePrefix="0" xfId="0">
      <alignment horizontal="general" vertical="bottom"/>
    </xf>
    <xf numFmtId="10" fontId="9" fillId="10" borderId="2" applyAlignment="1" pivotButton="0" quotePrefix="0" xfId="0">
      <alignment horizontal="general" vertical="bottom"/>
    </xf>
    <xf numFmtId="1" fontId="8" fillId="0" borderId="2" applyAlignment="1" pivotButton="0" quotePrefix="0" xfId="0">
      <alignment horizontal="general" vertical="bottom"/>
    </xf>
    <xf numFmtId="2" fontId="8" fillId="0" borderId="2" applyAlignment="1" pivotButton="0" quotePrefix="0" xfId="0">
      <alignment horizontal="general" vertical="bottom"/>
    </xf>
    <xf numFmtId="1" fontId="9" fillId="10" borderId="2" applyAlignment="1" pivotButton="0" quotePrefix="0" xfId="0">
      <alignment horizontal="general" vertical="bottom"/>
    </xf>
    <xf numFmtId="2" fontId="9" fillId="10" borderId="2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9" fillId="0" borderId="2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3" fontId="25" fillId="0" borderId="1" applyAlignment="1" pivotButton="0" quotePrefix="0" xfId="0">
      <alignment horizontal="general" vertical="bottom"/>
    </xf>
    <xf numFmtId="10" fontId="25" fillId="0" borderId="1" applyAlignment="1" pivotButton="0" quotePrefix="0" xfId="0">
      <alignment horizontal="general" vertical="bottom"/>
    </xf>
    <xf numFmtId="10" fontId="26" fillId="0" borderId="1" applyAlignment="1" pivotButton="0" quotePrefix="0" xfId="0">
      <alignment horizontal="general" vertical="bottom"/>
    </xf>
    <xf numFmtId="0" fontId="13" fillId="11" borderId="0" applyAlignment="1" pivotButton="0" quotePrefix="0" xfId="0">
      <alignment horizontal="general" vertical="bottom"/>
    </xf>
    <xf numFmtId="3" fontId="27" fillId="11" borderId="0" applyAlignment="1" pivotButton="0" quotePrefix="0" xfId="0">
      <alignment horizontal="general" vertical="bottom"/>
    </xf>
    <xf numFmtId="3" fontId="0" fillId="11" borderId="0" applyAlignment="1" pivotButton="0" quotePrefix="0" xfId="0">
      <alignment horizontal="general" vertical="bottom"/>
    </xf>
    <xf numFmtId="3" fontId="28" fillId="11" borderId="0" applyAlignment="1" pivotButton="0" quotePrefix="0" xfId="0">
      <alignment horizontal="general" vertical="bottom"/>
    </xf>
    <xf numFmtId="10" fontId="0" fillId="11" borderId="0" applyAlignment="1" pivotButton="0" quotePrefix="0" xfId="0">
      <alignment horizontal="general" vertical="bottom"/>
    </xf>
    <xf numFmtId="4" fontId="29" fillId="0" borderId="1" applyAlignment="1" pivotButton="0" quotePrefix="0" xfId="0">
      <alignment horizontal="general" vertical="bottom"/>
    </xf>
    <xf numFmtId="4" fontId="25" fillId="0" borderId="1" applyAlignment="1" pivotButton="0" quotePrefix="0" xfId="0">
      <alignment horizontal="general" vertical="bottom"/>
    </xf>
    <xf numFmtId="169" fontId="8" fillId="0" borderId="1" applyAlignment="1" pivotButton="0" quotePrefix="0" xfId="0">
      <alignment horizontal="general" vertical="bottom"/>
    </xf>
    <xf numFmtId="170" fontId="8" fillId="0" borderId="1" applyAlignment="1" pivotButton="0" quotePrefix="0" xfId="0">
      <alignment horizontal="general" vertical="bottom"/>
    </xf>
    <xf numFmtId="170" fontId="5" fillId="0" borderId="1" applyAlignment="1" pivotButton="0" quotePrefix="0" xfId="0">
      <alignment horizontal="general" vertical="bottom"/>
    </xf>
    <xf numFmtId="10" fontId="8" fillId="0" borderId="1" applyAlignment="1" pivotButton="0" quotePrefix="0" xfId="0">
      <alignment horizontal="general" vertical="bottom"/>
    </xf>
    <xf numFmtId="3" fontId="9" fillId="6" borderId="0" applyAlignment="1" pivotButton="0" quotePrefix="0" xfId="0">
      <alignment horizontal="general" vertical="bottom"/>
    </xf>
    <xf numFmtId="10" fontId="9" fillId="6" borderId="0" applyAlignment="1" pivotButton="0" quotePrefix="0" xfId="0">
      <alignment horizontal="general" vertical="bottom"/>
    </xf>
    <xf numFmtId="4" fontId="5" fillId="0" borderId="1" applyAlignment="1" pivotButton="0" quotePrefix="0" xfId="0">
      <alignment horizontal="general" vertical="bottom"/>
    </xf>
    <xf numFmtId="4" fontId="8" fillId="0" borderId="1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404"/>
      <rgbColor rgb="FF800080"/>
      <rgbColor rgb="FF4672A8"/>
      <rgbColor rgb="FFBFBFBF"/>
      <rgbColor rgb="FF888888"/>
      <rgbColor rgb="FF818CF8"/>
      <rgbColor rgb="FFAB4744"/>
      <rgbColor rgb="FFFFF3CD"/>
      <rgbColor rgb="FFDEEBF7"/>
      <rgbColor rgb="FF660066"/>
      <rgbColor rgb="FFDC853E"/>
      <rgbColor rgb="FF2E75B6"/>
      <rgbColor rgb="FFD0D5DD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5B9BD5"/>
      <rgbColor rgb="FFE8EDF5"/>
      <rgbColor rgb="FFD4EDDA"/>
      <rgbColor rgb="FFD9D9D9"/>
      <rgbColor rgb="FFD0DCF0"/>
      <rgbColor rgb="FFD09493"/>
      <rgbColor rgb="FFB3B3B3"/>
      <rgbColor rgb="FFF8D7DA"/>
      <rgbColor rgb="FF6366F1"/>
      <rgbColor rgb="FF22C55E"/>
      <rgbColor rgb="FF9BBB59"/>
      <rgbColor rgb="FFB8CD97"/>
      <rgbColor rgb="FFFF8C00"/>
      <rgbColor rgb="FFFF6B00"/>
      <rgbColor rgb="FF725990"/>
      <rgbColor rgb="FF93A9CE"/>
      <rgbColor rgb="FF003366"/>
      <rgbColor rgb="FF4299B0"/>
      <rgbColor rgb="FF003300"/>
      <rgbColor rgb="FF595959"/>
      <rgbColor rgb="FF8AA64F"/>
      <rgbColor rgb="FFC0504D"/>
      <rgbColor rgb="FF1F4E78"/>
      <rgbColor rgb="FF1B2A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Composición por Tipo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672a8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ab4744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aa64f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2599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299b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dc853e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93a9ce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d09493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b8cd97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7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8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bestFit"/>
            <showLegendKey val="1"/>
            <showVal val="0"/>
            <showCatName val="1"/>
            <showSerName val="1"/>
            <showPercent val="1"/>
            <showLeaderLines val="1"/>
          </dLbls>
          <cat>
            <strRef>
              <f>Dashboard!$A$6:$A$14</f>
              <strCache>
                <ptCount val="9"/>
                <pt idx="0">
                  <v>Acciones Argentina</v>
                </pt>
                <pt idx="1">
                  <v>CEDEARs</v>
                </pt>
                <pt idx="2">
                  <v>Bonos Soberanos</v>
                </pt>
                <pt idx="3">
                  <v>ONs / Corporativos</v>
                </pt>
                <pt idx="4">
                  <v>FCIs Pesos</v>
                </pt>
                <pt idx="5">
                  <v>FCIs USD (en ARS)</v>
                </pt>
                <pt idx="6">
                  <v>Letras</v>
                </pt>
                <pt idx="7">
                  <v>USD Líquido</v>
                </pt>
                <pt idx="8">
                  <v>Otros (MDP, Francés, Galicia)</v>
                </pt>
              </strCache>
            </strRef>
          </cat>
          <val>
            <numRef>
              <f>Dashboard!$B$6:$B$14</f>
              <numCache>
                <formatCode>#,##0</formatCode>
                <ptCount val="9"/>
                <pt idx="0">
                  <v>2274835875</v>
                </pt>
                <pt idx="1">
                  <v>419380255</v>
                </pt>
                <pt idx="2">
                  <v>1150670603</v>
                </pt>
                <pt idx="3">
                  <v>339660762</v>
                </pt>
                <pt idx="4">
                  <v>1468414787</v>
                </pt>
                <pt idx="5">
                  <v>860481688.4400001</v>
                </pt>
                <pt idx="6">
                  <v>189416497</v>
                </pt>
                <pt idx="7">
                  <v>116571153</v>
                </pt>
                <pt idx="8">
                  <v>105974195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Valor por ALyC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Dashboard!$A$19:$A$24</f>
              <strCache>
                <ptCount val="6"/>
                <pt idx="0">
                  <v>Balanz Capital</v>
                </pt>
                <pt idx="1">
                  <v>Banco Provincia</v>
                </pt>
                <pt idx="2">
                  <v>MDP Bursátil</v>
                </pt>
                <pt idx="3">
                  <v>Banco Francés</v>
                </pt>
                <pt idx="4">
                  <v>Banco Galicia</v>
                </pt>
                <pt idx="5">
                  <v>USD Líquido</v>
                </pt>
              </strCache>
            </strRef>
          </cat>
          <val>
            <numRef>
              <f>Dashboard!$B$19:$B$24</f>
              <numCache>
                <formatCode>#,##0</formatCode>
                <ptCount val="6"/>
                <pt idx="0">
                  <v>3898578549</v>
                </pt>
                <pt idx="1">
                  <v>2806962926.86</v>
                </pt>
                <pt idx="2">
                  <v>30516090</v>
                </pt>
                <pt idx="3">
                  <v>8592659</v>
                </pt>
                <pt idx="4">
                  <v>66865446</v>
                </pt>
                <pt idx="5">
                  <v>116571153</v>
                </pt>
              </numCache>
            </numRef>
          </val>
        </ser>
        <gapWidth val="150"/>
        <overlap val="0"/>
        <axId val="54559651"/>
        <axId val="82838584"/>
      </barChart>
      <catAx>
        <axId val="54559651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2838584"/>
        <crosses val="autoZero"/>
        <auto val="1"/>
        <lblAlgn val="ctr"/>
        <lblOffset val="100"/>
        <noMultiLvlLbl val="0"/>
      </catAx>
      <valAx>
        <axId val="82838584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numFmt formatCode="#,##0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4559651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Asset Allocation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Analytics!B4</f>
              <strCache>
                <ptCount val="1"/>
                <pt idx="0">
                  <v>Valor ($)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672a8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ab4744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aa64f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2599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299b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dc853e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93a9ce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d09493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b8cd97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numFmt formatCode="\$#,##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1"/>
              <numFmt formatCode="\$#,##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2"/>
              <numFmt formatCode="\$#,##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3"/>
              <numFmt formatCode="\$#,##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4"/>
              <numFmt formatCode="\$#,##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5"/>
              <numFmt formatCode="\$#,##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6"/>
              <numFmt formatCode="\$#,##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7"/>
              <numFmt formatCode="\$#,##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8"/>
              <numFmt formatCode="\$#,##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numFmt formatCode="\$#,##0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bestFit"/>
            <showLegendKey val="1"/>
            <showVal val="1"/>
            <showCatName val="1"/>
            <showSerName val="1"/>
            <showPercent val="1"/>
            <showLeaderLines val="1"/>
          </dLbls>
          <cat>
            <strRef>
              <f>Analytics!$A$5:$A$13</f>
              <strCache>
                <ptCount val="9"/>
                <pt idx="0">
                  <v>Acciones Argentinas</v>
                </pt>
                <pt idx="1">
                  <v>CEDEARs</v>
                </pt>
                <pt idx="2">
                  <v>Bonos Soberanos</v>
                </pt>
                <pt idx="3">
                  <v>ONs / Corporativos</v>
                </pt>
                <pt idx="4">
                  <v>FCIs Pesos</v>
                </pt>
                <pt idx="5">
                  <v>FCIs USD (en ARS)</v>
                </pt>
                <pt idx="6">
                  <v>Letras</v>
                </pt>
                <pt idx="7">
                  <v>Otros (MDP, Galicia)</v>
                </pt>
                <pt idx="8">
                  <v>USD Líquido</v>
                </pt>
              </strCache>
            </strRef>
          </cat>
          <val>
            <numRef>
              <f>Analytics!$B$5:$B$13</f>
              <numCache>
                <formatCode>\$#,##0</formatCode>
                <ptCount val="9"/>
                <pt idx="2">
                  <v>1374847943.48</v>
                </pt>
                <pt idx="3">
                  <v>344621174.3</v>
                </pt>
                <pt idx="4">
                  <v>2030370593.11947</v>
                </pt>
                <pt idx="5">
                  <v>863483107.949241</v>
                </pt>
                <pt idx="6">
                  <v>308526892.67</v>
                </pt>
                <pt idx="7">
                  <v>97381536</v>
                </pt>
                <pt idx="8">
                  <v>116571153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Exposición por Moneda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Analytics!B18</f>
              <strCache>
                <ptCount val="1"/>
                <pt idx="0">
                  <v>Valor ($)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f81b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numFmt formatCode="\$#,##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1"/>
              <numFmt formatCode="\$#,##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2"/>
              <numFmt formatCode="\$#,##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numFmt formatCode="\$#,##0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bestFit"/>
            <showLegendKey val="1"/>
            <showVal val="1"/>
            <showCatName val="1"/>
            <showSerName val="1"/>
            <showPercent val="1"/>
            <showLeaderLines val="1"/>
          </dLbls>
          <cat>
            <strRef>
              <f>Analytics!$A$19:$A$21</f>
              <strCache>
                <ptCount val="3"/>
                <pt idx="0">
                  <v>ARS</v>
                </pt>
                <pt idx="1">
                  <v>USD-Linked (BOPREAL/DL)</v>
                </pt>
                <pt idx="2">
                  <v>USD Hard</v>
                </pt>
              </strCache>
            </strRef>
          </cat>
          <val>
            <numRef>
              <f>Analytics!$B$19:$B$21</f>
              <numCache>
                <formatCode>\$#,##0</formatCode>
                <ptCount val="3"/>
                <pt idx="1">
                  <v>174285489.1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Duración por Bucket (años)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Analytics!D26</f>
              <strCache>
                <ptCount val="1"/>
                <pt idx="0">
                  <v>Duración Aprox (años)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Analytics!$A$27:$A$30</f>
              <strCache>
                <ptCount val="4"/>
                <pt idx="0">
                  <v>Bonos Soberanos Balanz</v>
                </pt>
                <pt idx="1">
                  <v>ONs Balanz</v>
                </pt>
                <pt idx="2">
                  <v>Letras Balanz</v>
                </pt>
                <pt idx="3">
                  <v>Bonos Provincia</v>
                </pt>
              </strCache>
            </strRef>
          </cat>
          <val>
            <numRef>
              <f>Analytics!$D$27:$D$30</f>
              <numCache>
                <formatCode>0.00</formatCode>
                <ptCount val="4"/>
                <pt idx="0">
                  <v>0.5253072928286761</v>
                </pt>
                <pt idx="1">
                  <v>6.99056821464855</v>
                </pt>
                <pt idx="2">
                  <v>0.340358617853805</v>
                </pt>
                <pt idx="3">
                  <v>6.62736458827351</v>
                </pt>
              </numCache>
            </numRef>
          </val>
        </ser>
        <gapWidth val="150"/>
        <overlap val="0"/>
        <axId val="62156316"/>
        <axId val="41847980"/>
      </barChart>
      <catAx>
        <axId val="6215631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1847980"/>
        <crosses val="autoZero"/>
        <auto val="1"/>
        <lblAlgn val="ctr"/>
        <lblOffset val="100"/>
        <noMultiLvlLbl val="0"/>
      </catAx>
      <valAx>
        <axId val="41847980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numFmt formatCode="0.00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2156316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Calendario de Vencimientos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Analytics!B35</f>
              <strCache>
                <ptCount val="1"/>
                <pt idx="0">
                  <v>Valor a Vencer ($)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Analytics!$A$36:$A$42</f>
              <strCache>
                <ptCount val="7"/>
                <pt idx="0">
                  <v>0-3 meses (0-90d)</v>
                </pt>
                <pt idx="1">
                  <v>3-6 meses (91-180d)</v>
                </pt>
                <pt idx="2">
                  <v>6-12 meses (181-365d)</v>
                </pt>
                <pt idx="3">
                  <v>12-18 meses (366-545d)</v>
                </pt>
                <pt idx="4">
                  <v>18-24 meses (546-730d)</v>
                </pt>
                <pt idx="5">
                  <v>24-36 meses (731-1095d)</v>
                </pt>
                <pt idx="6">
                  <v>Más de 36 meses (&gt;1095d)</v>
                </pt>
              </strCache>
            </strRef>
          </cat>
          <val>
            <numRef>
              <f>Analytics!$B$36:$B$42</f>
              <numCache>
                <formatCode>\$#,##0</formatCode>
                <ptCount val="7"/>
                <pt idx="0">
                  <v>238873326.99</v>
                </pt>
                <pt idx="1">
                  <v>116223040.28</v>
                </pt>
                <pt idx="2">
                  <v>352916312.04</v>
                </pt>
                <pt idx="3">
                  <v>71491588.65000001</v>
                </pt>
                <pt idx="4">
                  <v>71800085.8</v>
                </pt>
                <pt idx="5">
                  <v>44471959.09</v>
                </pt>
                <pt idx="6">
                  <v>863319555.7</v>
                </pt>
              </numCache>
            </numRef>
          </val>
        </ser>
        <gapWidth val="150"/>
        <overlap val="0"/>
        <axId val="13727087"/>
        <axId val="17358361"/>
      </barChart>
      <catAx>
        <axId val="13727087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7358361"/>
        <crosses val="autoZero"/>
        <auto val="1"/>
        <lblAlgn val="ctr"/>
        <lblOffset val="100"/>
        <noMultiLvlLbl val="0"/>
      </catAx>
      <valAx>
        <axId val="17358361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3727087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/Relationships>
</file>

<file path=xl/drawings/drawing1.xml><?xml version="1.0" encoding="utf-8"?>
<wsDr xmlns="http://schemas.openxmlformats.org/drawingml/2006/spreadsheetDrawing">
  <twoCellAnchor editAs="oneCell">
    <from>
      <col>4</col>
      <colOff>0</colOff>
      <row>2</row>
      <rowOff>131040</rowOff>
    </from>
    <to>
      <col>9</col>
      <colOff>979560</colOff>
      <row>29</row>
      <rowOff>24480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4</col>
      <colOff>0</colOff>
      <row>16</row>
      <rowOff>131040</rowOff>
    </from>
    <to>
      <col>9</col>
      <colOff>979560</colOff>
      <row>35</row>
      <rowOff>108360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4</col>
      <colOff>0</colOff>
      <row>2</row>
      <rowOff>0</rowOff>
    </from>
    <to>
      <col>13</col>
      <colOff>253800</colOff>
      <row>22</row>
      <rowOff>147600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4</col>
      <colOff>0</colOff>
      <row>16</row>
      <rowOff>0</rowOff>
    </from>
    <to>
      <col>12</col>
      <colOff>145440</colOff>
      <row>32</row>
      <rowOff>189360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6</col>
      <colOff>0</colOff>
      <row>24</row>
      <rowOff>0</rowOff>
    </from>
    <to>
      <col>14</col>
      <colOff>145440</colOff>
      <row>40</row>
      <rowOff>189360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5</col>
      <colOff>0</colOff>
      <row>33</row>
      <rowOff>0</rowOff>
    </from>
    <to>
      <col>15</col>
      <colOff>362520</colOff>
      <row>51</row>
      <rowOff>168480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FFFF6B00"/>
    <outlinePr summaryBelow="1" summaryRight="1"/>
    <pageSetUpPr fitToPage="0"/>
  </sheetPr>
  <dimension ref="A1:D15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79" min="1" max="1"/>
    <col width="18" customWidth="1" style="79" min="2" max="2"/>
    <col width="14" customWidth="1" style="79" min="3" max="4"/>
    <col width="18" customWidth="1" style="79" min="5" max="5"/>
    <col width="14" customWidth="1" style="79" min="6" max="8"/>
    <col width="18" customWidth="1" style="79" min="9" max="9"/>
    <col width="14" customWidth="1" style="79" min="10" max="11"/>
  </cols>
  <sheetData>
    <row r="1" ht="19.5" customHeight="1" s="80">
      <c r="A1" s="81" t="inlineStr">
        <is>
          <t>DASHBOARD — ANÁLISIS DE CARTERA</t>
        </is>
      </c>
    </row>
    <row r="2" ht="15" customHeight="1" s="80">
      <c r="A2" s="82">
        <f>"Tenencia total: $ "&amp;TEXT(Resumen!B11,"#,##0")&amp;" | TC MEP: $ "&amp;TEXT(Resumen!C3,"#,##0.00")&amp;" | "&amp;TEXT(TODAY(),"dd/mm/yyyy")</f>
        <v/>
      </c>
    </row>
    <row r="4" ht="15" customHeight="1" s="80">
      <c r="A4" s="83" t="inlineStr">
        <is>
          <t>COMPOSICIÓN POR TIPO DE INSTRUMENTO</t>
        </is>
      </c>
    </row>
    <row r="5" ht="15" customHeight="1" s="80">
      <c r="A5" s="84" t="inlineStr">
        <is>
          <t>Categoría</t>
        </is>
      </c>
      <c r="B5" s="84" t="inlineStr">
        <is>
          <t>Valor ARS</t>
        </is>
      </c>
      <c r="C5" s="84" t="inlineStr">
        <is>
          <t>% Cartera</t>
        </is>
      </c>
    </row>
    <row r="6" ht="15" customHeight="1" s="80">
      <c r="A6" s="85" t="inlineStr">
        <is>
          <t>Acciones Argentina</t>
        </is>
      </c>
      <c r="B6" s="86" t="n">
        <v>2274835875</v>
      </c>
      <c r="C6" s="87" t="n">
        <v>0.328349793072104</v>
      </c>
    </row>
    <row r="7" ht="15" customHeight="1" s="80">
      <c r="A7" s="85" t="inlineStr">
        <is>
          <t>CEDEARs</t>
        </is>
      </c>
      <c r="B7" s="86" t="n">
        <v>419380255</v>
      </c>
      <c r="C7" s="87" t="n">
        <v>0.0605333428495259</v>
      </c>
    </row>
    <row r="8" ht="15" customHeight="1" s="80">
      <c r="A8" s="85" t="inlineStr">
        <is>
          <t>Bonos Soberanos</t>
        </is>
      </c>
      <c r="B8" s="86" t="n">
        <v>1150670603</v>
      </c>
      <c r="C8" s="87" t="n">
        <v>0.166087786174553</v>
      </c>
    </row>
    <row r="9" ht="15" customHeight="1" s="80">
      <c r="A9" s="85" t="inlineStr">
        <is>
          <t>ONs / Corporativos</t>
        </is>
      </c>
      <c r="B9" s="86" t="n">
        <v>339660762</v>
      </c>
      <c r="C9" s="87" t="n">
        <v>0.0490266318300493</v>
      </c>
    </row>
    <row r="10" ht="15" customHeight="1" s="80">
      <c r="A10" s="85" t="inlineStr">
        <is>
          <t>FCIs Pesos</t>
        </is>
      </c>
      <c r="B10" s="86" t="n">
        <v>1468414787</v>
      </c>
      <c r="C10" s="87" t="n">
        <v>0.211950979301075</v>
      </c>
    </row>
    <row r="11" ht="15" customHeight="1" s="80">
      <c r="A11" s="85" t="inlineStr">
        <is>
          <t>FCIs USD (en ARS)</t>
        </is>
      </c>
      <c r="B11" s="86" t="n">
        <v>860481688.4400001</v>
      </c>
      <c r="C11" s="87" t="n">
        <v>0.12420192043156</v>
      </c>
    </row>
    <row r="12" ht="15" customHeight="1" s="80">
      <c r="A12" s="85" t="inlineStr">
        <is>
          <t>Letras</t>
        </is>
      </c>
      <c r="B12" s="86" t="n">
        <v>189416497</v>
      </c>
      <c r="C12" s="87" t="n">
        <v>0.0273403757510167</v>
      </c>
    </row>
    <row r="13" ht="15" customHeight="1" s="80">
      <c r="A13" s="85" t="inlineStr">
        <is>
          <t>USD Líquido</t>
        </is>
      </c>
      <c r="B13" s="86" t="n">
        <v>116571153</v>
      </c>
      <c r="C13" s="87" t="n">
        <v>0.0168258793464502</v>
      </c>
    </row>
    <row r="14" ht="15" customHeight="1" s="80">
      <c r="A14" s="85" t="inlineStr">
        <is>
          <t>Otros (MDP, Francés, Galicia)</t>
        </is>
      </c>
      <c r="B14" s="86" t="n">
        <v>105974195</v>
      </c>
      <c r="C14" s="87" t="n">
        <v>0.0152963145085062</v>
      </c>
    </row>
    <row r="17" ht="15" customHeight="1" s="80">
      <c r="A17" s="83" t="inlineStr">
        <is>
          <t>COMPOSICIÓN POR ALyC / BROKER</t>
        </is>
      </c>
    </row>
    <row r="18" ht="15" customHeight="1" s="80">
      <c r="A18" s="84" t="inlineStr">
        <is>
          <t>ALyC / Banco</t>
        </is>
      </c>
      <c r="B18" s="84" t="inlineStr">
        <is>
          <t>Valor ARS</t>
        </is>
      </c>
      <c r="C18" s="84" t="inlineStr">
        <is>
          <t>% Cartera</t>
        </is>
      </c>
    </row>
    <row r="19" ht="15" customHeight="1" s="80">
      <c r="A19" s="85" t="inlineStr">
        <is>
          <t>Balanz Capital</t>
        </is>
      </c>
      <c r="B19" s="86" t="n">
        <v>3898578549</v>
      </c>
      <c r="C19" s="87" t="n">
        <v>0.562720798413421</v>
      </c>
    </row>
    <row r="20" ht="15" customHeight="1" s="80">
      <c r="A20" s="85" t="inlineStr">
        <is>
          <t>Banco Provincia</t>
        </is>
      </c>
      <c r="B20" s="86" t="n">
        <v>2806962926.86</v>
      </c>
      <c r="C20" s="87" t="n">
        <v>0.405157007731623</v>
      </c>
    </row>
    <row r="21" ht="15" customHeight="1" s="80">
      <c r="A21" s="85" t="inlineStr">
        <is>
          <t>MDP Bursátil</t>
        </is>
      </c>
      <c r="B21" s="86" t="n">
        <v>30516090</v>
      </c>
      <c r="C21" s="87" t="n">
        <v>0.00440469220086908</v>
      </c>
    </row>
    <row r="22" ht="15" customHeight="1" s="80">
      <c r="A22" s="85" t="inlineStr">
        <is>
          <t>Banco Francés</t>
        </is>
      </c>
      <c r="B22" s="86" t="n">
        <v>8592659</v>
      </c>
      <c r="C22" s="87" t="n">
        <v>0.00124026433537283</v>
      </c>
    </row>
    <row r="23" ht="15" customHeight="1" s="80">
      <c r="A23" s="85" t="inlineStr">
        <is>
          <t>Banco Galicia</t>
        </is>
      </c>
      <c r="B23" s="86" t="n">
        <v>66865446</v>
      </c>
      <c r="C23" s="87" t="n">
        <v>0.00965135797226423</v>
      </c>
    </row>
    <row r="24" ht="15" customHeight="1" s="80">
      <c r="A24" s="85" t="inlineStr">
        <is>
          <t>USD Líquido</t>
        </is>
      </c>
      <c r="B24" s="86" t="n">
        <v>116571153</v>
      </c>
      <c r="C24" s="87" t="n">
        <v>0.0168258793464502</v>
      </c>
    </row>
    <row r="27" ht="15" customHeight="1" s="80">
      <c r="A27" s="83" t="inlineStr">
        <is>
          <t>EXPOSICIÓN POR SECTOR / RIESGO</t>
        </is>
      </c>
    </row>
    <row r="28" ht="15" customHeight="1" s="80">
      <c r="A28" s="84" t="inlineStr">
        <is>
          <t>Sector</t>
        </is>
      </c>
      <c r="B28" s="84" t="inlineStr">
        <is>
          <t>Valor ARS</t>
        </is>
      </c>
      <c r="C28" s="84" t="inlineStr">
        <is>
          <t>% Cartera</t>
        </is>
      </c>
      <c r="D28" s="84" t="inlineStr">
        <is>
          <t>Riesgo</t>
        </is>
      </c>
    </row>
    <row r="29" ht="15" customHeight="1" s="80">
      <c r="A29" s="85" t="inlineStr">
        <is>
          <t>Energía (YPFD, PAMP, Vista, YPF ONs)</t>
        </is>
      </c>
      <c r="B29" s="86" t="n">
        <v>1721729829</v>
      </c>
      <c r="C29" s="87" t="n">
        <v>0.248514470556351</v>
      </c>
      <c r="D29" s="88" t="inlineStr">
        <is>
          <t>ALTO</t>
        </is>
      </c>
    </row>
    <row r="30" ht="15" customHeight="1" s="80">
      <c r="A30" s="85" t="inlineStr">
        <is>
          <t>Financiero (GGAL, BMA, BBAR, SUPV, JPM)</t>
        </is>
      </c>
      <c r="B30" s="86" t="n">
        <v>376798490</v>
      </c>
      <c r="C30" s="87" t="n">
        <v>0.0543870912099895</v>
      </c>
      <c r="D30" s="88" t="inlineStr">
        <is>
          <t>ALTO</t>
        </is>
      </c>
    </row>
    <row r="31" ht="15" customHeight="1" s="80">
      <c r="A31" s="85" t="inlineStr">
        <is>
          <t>Tecnología (MSTR, NVDA, META, MELI, COIN)</t>
        </is>
      </c>
      <c r="B31" s="86" t="n">
        <v>245239160</v>
      </c>
      <c r="C31" s="87" t="n">
        <v>0.0353978185081931</v>
      </c>
      <c r="D31" s="89" t="inlineStr">
        <is>
          <t>MUY ALTO</t>
        </is>
      </c>
    </row>
    <row r="32" ht="15" customHeight="1" s="80">
      <c r="A32" s="85" t="inlineStr">
        <is>
          <t>Crypto (IBIT, ETHA)</t>
        </is>
      </c>
      <c r="B32" s="86" t="n">
        <v>49799300</v>
      </c>
      <c r="C32" s="87" t="n">
        <v>0.00718803058710142</v>
      </c>
      <c r="D32" s="89" t="inlineStr">
        <is>
          <t>MUY ALTO</t>
        </is>
      </c>
    </row>
    <row r="33" ht="15" customHeight="1" s="80">
      <c r="A33" s="85" t="inlineStr">
        <is>
          <t>Infraestructura (TGSU2, TRAN, METR, CEPU)</t>
        </is>
      </c>
      <c r="B33" s="86" t="n">
        <v>201767465</v>
      </c>
      <c r="C33" s="87" t="n">
        <v>0.0291231143791562</v>
      </c>
      <c r="D33" s="90" t="inlineStr">
        <is>
          <t>MEDIO</t>
        </is>
      </c>
    </row>
    <row r="34" ht="15" customHeight="1" s="80">
      <c r="A34" s="85" t="inlineStr">
        <is>
          <t>Renta Fija Soberana (bonos + letras)</t>
        </is>
      </c>
      <c r="B34" s="86" t="n">
        <v>1340087100</v>
      </c>
      <c r="C34" s="87" t="n">
        <v>0.19342816192557</v>
      </c>
      <c r="D34" s="91" t="inlineStr">
        <is>
          <t>BAJO-MEDIO</t>
        </is>
      </c>
    </row>
    <row r="35" ht="15" customHeight="1" s="80">
      <c r="A35" s="85" t="inlineStr">
        <is>
          <t>Renta Fija Corporativa (ONs)</t>
        </is>
      </c>
      <c r="B35" s="86" t="n">
        <v>339660762</v>
      </c>
      <c r="C35" s="87" t="n">
        <v>0.0490266318300493</v>
      </c>
      <c r="D35" s="91" t="inlineStr">
        <is>
          <t>BAJO</t>
        </is>
      </c>
    </row>
    <row r="36" ht="15" customHeight="1" s="80">
      <c r="A36" s="85" t="inlineStr">
        <is>
          <t>Money Market / FCIs</t>
        </is>
      </c>
      <c r="B36" s="86" t="n">
        <v>2328896475.44</v>
      </c>
      <c r="C36" s="87" t="n">
        <v>0.336152899732635</v>
      </c>
      <c r="D36" s="91" t="inlineStr">
        <is>
          <t>MUY BAJO</t>
        </is>
      </c>
    </row>
    <row r="37" ht="15" customHeight="1" s="80">
      <c r="A37" s="85" t="inlineStr">
        <is>
          <t>Cash / USD Líquido</t>
        </is>
      </c>
      <c r="B37" s="86" t="n">
        <v>222545348</v>
      </c>
      <c r="C37" s="87" t="n">
        <v>0.0321221938549564</v>
      </c>
      <c r="D37" s="91" t="inlineStr">
        <is>
          <t>MÍNIMO</t>
        </is>
      </c>
    </row>
    <row r="40" ht="17.25" customHeight="1" s="80">
      <c r="A40" s="92" t="inlineStr">
        <is>
          <t>ANÁLISIS DE RIESGO</t>
        </is>
      </c>
    </row>
    <row r="41" ht="15" customHeight="1" s="80">
      <c r="A41" s="84" t="inlineStr">
        <is>
          <t>Métrica</t>
        </is>
      </c>
      <c r="B41" s="84" t="inlineStr">
        <is>
          <t>Valor</t>
        </is>
      </c>
      <c r="C41" s="84" t="inlineStr">
        <is>
          <t>Interpretación</t>
        </is>
      </c>
    </row>
    <row r="42" ht="15" customHeight="1" s="80">
      <c r="A42" s="85" t="inlineStr">
        <is>
          <t>Tenencia total ARS</t>
        </is>
      </c>
      <c r="B42" s="93">
        <f>Resumen!B11</f>
        <v/>
      </c>
      <c r="C42" s="85" t="n"/>
    </row>
    <row r="43" ht="15" customHeight="1" s="80">
      <c r="A43" s="85" t="inlineStr">
        <is>
          <t>Tenencia total USD</t>
        </is>
      </c>
      <c r="B43" s="94">
        <f>Resumen!B11/Resumen!C3</f>
        <v/>
      </c>
      <c r="C43" s="85">
        <f>"TC MEP "&amp;TEXT(Resumen!C3,"#,##0.00")</f>
        <v/>
      </c>
    </row>
    <row r="45" ht="15" customHeight="1" s="80">
      <c r="A45" s="85" t="inlineStr">
        <is>
          <t>Volatilidad anual estimada</t>
        </is>
      </c>
      <c r="B45" s="90" t="inlineStr">
        <is>
          <t>19.0%</t>
        </is>
      </c>
      <c r="C45" s="85" t="inlineStr">
        <is>
          <t>MODERADO</t>
        </is>
      </c>
    </row>
    <row r="46" ht="15" customHeight="1" s="80">
      <c r="A46" s="85" t="inlineStr">
        <is>
          <t>VaR 95% anual</t>
        </is>
      </c>
      <c r="B46" s="90" t="inlineStr">
        <is>
          <t>USD 1,525,311</t>
        </is>
      </c>
      <c r="C46" s="85" t="inlineStr">
        <is>
          <t>31.3% del portfolio</t>
        </is>
      </c>
    </row>
    <row r="47" ht="15" customHeight="1" s="80">
      <c r="A47" s="85" t="inlineStr">
        <is>
          <t>Max Drawdown estimado</t>
        </is>
      </c>
      <c r="B47" s="90" t="inlineStr">
        <is>
          <t>47.6%</t>
        </is>
      </c>
      <c r="C47" s="85" t="inlineStr">
        <is>
          <t>USD 2,318,102 en crisis</t>
        </is>
      </c>
    </row>
    <row r="49" ht="15" customHeight="1" s="80">
      <c r="A49" s="85" t="inlineStr">
        <is>
          <t>Concentración Top 5</t>
        </is>
      </c>
      <c r="B49" s="90" t="inlineStr">
        <is>
          <t>34.4%</t>
        </is>
      </c>
      <c r="C49" s="95" t="inlineStr">
        <is>
          <t>ALTA</t>
        </is>
      </c>
    </row>
    <row r="50" ht="15" customHeight="1" s="80">
      <c r="A50" s="85" t="inlineStr">
        <is>
          <t>Índice HHI</t>
        </is>
      </c>
      <c r="B50" s="90" t="inlineStr">
        <is>
          <t>2031</t>
        </is>
      </c>
      <c r="C50" s="95" t="inlineStr">
        <is>
          <t>CONCENTRADO</t>
        </is>
      </c>
    </row>
    <row r="52" ht="15" customHeight="1" s="80">
      <c r="A52" s="85" t="inlineStr">
        <is>
          <t>Exposición Argentina</t>
        </is>
      </c>
      <c r="B52" s="90" t="inlineStr">
        <is>
          <t>78.3%</t>
        </is>
      </c>
      <c r="C52" s="95" t="inlineStr">
        <is>
          <t>ALTA — riesgo país</t>
        </is>
      </c>
    </row>
    <row r="53" ht="15" customHeight="1" s="80">
      <c r="A53" s="85" t="inlineStr">
        <is>
          <t>Exposición Internacional</t>
        </is>
      </c>
      <c r="B53" s="90" t="inlineStr">
        <is>
          <t>20.2%</t>
        </is>
      </c>
      <c r="C53" s="85" t="inlineStr">
        <is>
          <t>Diversificación limitada</t>
        </is>
      </c>
    </row>
    <row r="55" ht="15" customHeight="1" s="80">
      <c r="A55" s="85" t="inlineStr">
        <is>
          <t>Renta Variable</t>
        </is>
      </c>
      <c r="B55" s="90" t="inlineStr">
        <is>
          <t>38.9%</t>
        </is>
      </c>
      <c r="C55" s="85" t="inlineStr">
        <is>
          <t>Acciones ARG + CEDEARs</t>
        </is>
      </c>
    </row>
    <row r="56" ht="15" customHeight="1" s="80">
      <c r="A56" s="85" t="inlineStr">
        <is>
          <t>Renta Fija</t>
        </is>
      </c>
      <c r="B56" s="90" t="inlineStr">
        <is>
          <t>24.2%</t>
        </is>
      </c>
      <c r="C56" s="85" t="inlineStr">
        <is>
          <t>Bonos + ONs + Letras</t>
        </is>
      </c>
    </row>
    <row r="57" ht="15" customHeight="1" s="80">
      <c r="A57" s="85" t="inlineStr">
        <is>
          <t>Cash / Money Market</t>
        </is>
      </c>
      <c r="B57" s="90" t="inlineStr">
        <is>
          <t>36.8%</t>
        </is>
      </c>
      <c r="C57" s="85" t="inlineStr">
        <is>
          <t>FCIs + USD + otros</t>
        </is>
      </c>
    </row>
    <row r="60" ht="15" customHeight="1" s="80">
      <c r="A60" s="83" t="inlineStr">
        <is>
          <t>TOP 15 POSICIONES</t>
        </is>
      </c>
    </row>
    <row r="61" ht="15" customHeight="1" s="80">
      <c r="A61" s="84" t="inlineStr">
        <is>
          <t>Posición</t>
        </is>
      </c>
      <c r="B61" s="84" t="inlineStr">
        <is>
          <t>Valor ARS</t>
        </is>
      </c>
      <c r="C61" s="84" t="inlineStr">
        <is>
          <t>% Cartera</t>
        </is>
      </c>
      <c r="D61" s="84" t="inlineStr">
        <is>
          <t>Broker</t>
        </is>
      </c>
    </row>
    <row r="62" ht="15" customHeight="1" s="80">
      <c r="A62" s="85" t="inlineStr">
        <is>
          <t>YPFD (acciones)</t>
        </is>
      </c>
      <c r="B62" s="86" t="n">
        <v>1043352450</v>
      </c>
      <c r="C62" s="87" t="n">
        <v>0.150597484778445</v>
      </c>
      <c r="D62" s="96" t="inlineStr">
        <is>
          <t>Provincia + Balanz</t>
        </is>
      </c>
    </row>
    <row r="63" ht="15" customHeight="1" s="80">
      <c r="A63" s="85" t="inlineStr">
        <is>
          <t>PAMP (acciones)</t>
        </is>
      </c>
      <c r="B63" s="86" t="n">
        <v>529557225</v>
      </c>
      <c r="C63" s="87" t="n">
        <v>0.07643628586989271</v>
      </c>
      <c r="D63" s="96" t="inlineStr">
        <is>
          <t>Provincia + Balanz</t>
        </is>
      </c>
    </row>
    <row r="64" ht="15" customHeight="1" s="80">
      <c r="A64" s="85" t="inlineStr">
        <is>
          <t>Raíces 24/7</t>
        </is>
      </c>
      <c r="B64" s="86" t="n">
        <v>427784416</v>
      </c>
      <c r="C64" s="87" t="n">
        <v>0.0617463993849977</v>
      </c>
      <c r="D64" s="96" t="inlineStr">
        <is>
          <t>Provincia</t>
        </is>
      </c>
    </row>
    <row r="65" ht="15" customHeight="1" s="80">
      <c r="A65" s="85" t="inlineStr">
        <is>
          <t>BCMMA Money Market</t>
        </is>
      </c>
      <c r="B65" s="86" t="n">
        <v>326438863</v>
      </c>
      <c r="C65" s="87" t="n">
        <v>0.0471181830279263</v>
      </c>
      <c r="D65" s="96" t="inlineStr">
        <is>
          <t>Balanz</t>
        </is>
      </c>
    </row>
    <row r="66" ht="15" customHeight="1" s="80">
      <c r="A66" s="85" t="inlineStr">
        <is>
          <t>LECAPSA Lecaps FCI</t>
        </is>
      </c>
      <c r="B66" s="86" t="n">
        <v>318991169</v>
      </c>
      <c r="C66" s="87" t="n">
        <v>0.0460431829320339</v>
      </c>
      <c r="D66" s="96" t="inlineStr">
        <is>
          <t>Balanz</t>
        </is>
      </c>
    </row>
    <row r="67" ht="15" customHeight="1" s="80">
      <c r="A67" s="85" t="inlineStr">
        <is>
          <t>GGAL (acciones)</t>
        </is>
      </c>
      <c r="B67" s="86" t="n">
        <v>239813500</v>
      </c>
      <c r="C67" s="87" t="n">
        <v>0.0346146787846385</v>
      </c>
      <c r="D67" s="96" t="inlineStr">
        <is>
          <t>Provincia + Balanz</t>
        </is>
      </c>
    </row>
    <row r="68" ht="15" customHeight="1" s="80">
      <c r="A68" s="85" t="inlineStr">
        <is>
          <t>LONGPesosA</t>
        </is>
      </c>
      <c r="B68" s="86" t="n">
        <v>129895270</v>
      </c>
      <c r="C68" s="87" t="n">
        <v>0.0187490822939238</v>
      </c>
      <c r="D68" s="96" t="inlineStr">
        <is>
          <t>Balanz</t>
        </is>
      </c>
    </row>
    <row r="69" ht="15" customHeight="1" s="80">
      <c r="A69" s="85" t="inlineStr">
        <is>
          <t>Raíces Dólares Plus</t>
        </is>
      </c>
      <c r="B69" s="86" t="n">
        <v>118854276.86</v>
      </c>
      <c r="C69" s="87" t="n">
        <v>0.0171554254272149</v>
      </c>
      <c r="D69" s="96" t="inlineStr">
        <is>
          <t>Provincia</t>
        </is>
      </c>
    </row>
    <row r="70" ht="15" customHeight="1" s="80">
      <c r="A70" s="85" t="inlineStr">
        <is>
          <t>YM34O (ON YPF)</t>
        </is>
      </c>
      <c r="B70" s="86" t="n">
        <v>117503234</v>
      </c>
      <c r="C70" s="87" t="n">
        <v>0.0169604159109734</v>
      </c>
      <c r="D70" s="96" t="inlineStr">
        <is>
          <t>Balanz</t>
        </is>
      </c>
    </row>
    <row r="71" ht="15" customHeight="1" s="80">
      <c r="A71" s="85" t="inlineStr">
        <is>
          <t>MSTR (CEDEAR)</t>
        </is>
      </c>
      <c r="B71" s="86" t="n">
        <v>105840000</v>
      </c>
      <c r="C71" s="87" t="n">
        <v>0.0152769448032164</v>
      </c>
      <c r="D71" s="96" t="inlineStr">
        <is>
          <t>Balanz</t>
        </is>
      </c>
    </row>
    <row r="72" ht="15" customHeight="1" s="80">
      <c r="A72" s="85" t="inlineStr">
        <is>
          <t>GD41 (bono)</t>
        </is>
      </c>
      <c r="B72" s="86" t="n">
        <v>99005531</v>
      </c>
      <c r="C72" s="87" t="n">
        <v>0.0142904575992076</v>
      </c>
      <c r="D72" s="96" t="inlineStr">
        <is>
          <t>Balanz</t>
        </is>
      </c>
    </row>
    <row r="73" ht="15" customHeight="1" s="80">
      <c r="A73" s="85" t="inlineStr">
        <is>
          <t>TTD26 (dual)</t>
        </is>
      </c>
      <c r="B73" s="86" t="n">
        <v>98456237</v>
      </c>
      <c r="C73" s="87" t="n">
        <v>0.0142111725073828</v>
      </c>
      <c r="D73" s="96" t="inlineStr">
        <is>
          <t>Balanz</t>
        </is>
      </c>
    </row>
    <row r="74" ht="15" customHeight="1" s="80">
      <c r="A74" s="85" t="inlineStr">
        <is>
          <t>METR (acciones)</t>
        </is>
      </c>
      <c r="B74" s="86" t="n">
        <v>85989928</v>
      </c>
      <c r="C74" s="87" t="n">
        <v>0.0124117855601715</v>
      </c>
      <c r="D74" s="96" t="inlineStr">
        <is>
          <t>Provincia + Balanz</t>
        </is>
      </c>
    </row>
    <row r="75" ht="15" customHeight="1" s="80">
      <c r="A75" s="85" t="inlineStr">
        <is>
          <t>SOJAA FCI</t>
        </is>
      </c>
      <c r="B75" s="86" t="n">
        <v>76227800</v>
      </c>
      <c r="C75" s="87" t="n">
        <v>0.0110027200781427</v>
      </c>
      <c r="D75" s="96" t="inlineStr">
        <is>
          <t>Balanz</t>
        </is>
      </c>
    </row>
    <row r="76" ht="15" customHeight="1" s="80">
      <c r="A76" s="85" t="inlineStr">
        <is>
          <t>SUPV (acciones)</t>
        </is>
      </c>
      <c r="B76" s="86" t="n">
        <v>58753863</v>
      </c>
      <c r="C76" s="87" t="n">
        <v>0.00848053214310977</v>
      </c>
      <c r="D76" s="96" t="inlineStr">
        <is>
          <t>Balanz</t>
        </is>
      </c>
    </row>
    <row r="79" ht="15" customHeight="1" s="80">
      <c r="A79" s="97" t="inlineStr">
        <is>
          <t>STRESS TEST — ESCENARIOS</t>
        </is>
      </c>
    </row>
    <row r="80" ht="15" customHeight="1" s="80">
      <c r="A80" s="84" t="inlineStr">
        <is>
          <t>Escenario</t>
        </is>
      </c>
      <c r="B80" s="84" t="inlineStr">
        <is>
          <t>Impacto Estimado</t>
        </is>
      </c>
      <c r="C80" s="84" t="inlineStr">
        <is>
          <t>Pérdida USD</t>
        </is>
      </c>
      <c r="D80" s="84" t="inlineStr">
        <is>
          <t>Probabilidad</t>
        </is>
      </c>
    </row>
    <row r="81" ht="15" customHeight="1" s="80">
      <c r="A81" s="85" t="inlineStr">
        <is>
          <t>Corrección leve (-10% acciones)</t>
        </is>
      </c>
      <c r="B81" s="90" t="inlineStr">
        <is>
          <t>-3.9%</t>
        </is>
      </c>
      <c r="C81" s="85" t="inlineStr">
        <is>
          <t>USD 189,368</t>
        </is>
      </c>
      <c r="D81" s="85" t="inlineStr">
        <is>
          <t>Media</t>
        </is>
      </c>
    </row>
    <row r="82" ht="15" customHeight="1" s="80">
      <c r="A82" s="85" t="inlineStr">
        <is>
          <t>Crisis moderada (2018-style)</t>
        </is>
      </c>
      <c r="B82" s="90" t="inlineStr">
        <is>
          <t>-20%</t>
        </is>
      </c>
      <c r="C82" s="85" t="inlineStr">
        <is>
          <t>USD 973,908</t>
        </is>
      </c>
      <c r="D82" s="85" t="inlineStr">
        <is>
          <t>Baja</t>
        </is>
      </c>
    </row>
    <row r="83" ht="15" customHeight="1" s="80">
      <c r="A83" s="98" t="inlineStr">
        <is>
          <t>Crisis severa (2019 PASO)</t>
        </is>
      </c>
      <c r="B83" s="90" t="inlineStr">
        <is>
          <t>-35%</t>
        </is>
      </c>
      <c r="C83" s="85" t="inlineStr">
        <is>
          <t>USD 1,704,338</t>
        </is>
      </c>
      <c r="D83" s="85" t="inlineStr">
        <is>
          <t>Muy baja</t>
        </is>
      </c>
    </row>
    <row r="84" ht="15" customHeight="1" s="80">
      <c r="A84" s="85" t="inlineStr">
        <is>
          <t>Caída crypto 50%</t>
        </is>
      </c>
      <c r="B84" s="90" t="inlineStr">
        <is>
          <t>-0.4%</t>
        </is>
      </c>
      <c r="C84" s="85" t="inlineStr">
        <is>
          <t>USD 17,501</t>
        </is>
      </c>
      <c r="D84" s="85" t="inlineStr">
        <is>
          <t>Media</t>
        </is>
      </c>
    </row>
    <row r="85" ht="15" customHeight="1" s="80">
      <c r="A85" s="85" t="inlineStr">
        <is>
          <t>Suba de tasas +5pp (bonos)</t>
        </is>
      </c>
      <c r="B85" s="90" t="inlineStr">
        <is>
          <t>-1.3%</t>
        </is>
      </c>
      <c r="C85" s="85" t="inlineStr">
        <is>
          <t>USD 64,702</t>
        </is>
      </c>
      <c r="D85" s="85" t="inlineStr">
        <is>
          <t>Media-Baja</t>
        </is>
      </c>
    </row>
    <row r="86" ht="15" customHeight="1" s="80">
      <c r="A86" s="99" t="inlineStr">
        <is>
          <t>Devaluación 30% (beneficia USD)</t>
        </is>
      </c>
      <c r="B86" s="90" t="inlineStr">
        <is>
          <t>+6.0%</t>
        </is>
      </c>
      <c r="C86" s="85" t="inlineStr">
        <is>
          <t>+USD 294,453</t>
        </is>
      </c>
      <c r="D86" s="85" t="inlineStr">
        <is>
          <t>Baja</t>
        </is>
      </c>
    </row>
    <row r="89" ht="17.25" customHeight="1" s="80">
      <c r="A89" s="100" t="inlineStr">
        <is>
          <t>SCORE DE RIESGO GLOBAL</t>
        </is>
      </c>
    </row>
    <row r="90" ht="21.75" customHeight="1" s="80">
      <c r="A90" s="101" t="inlineStr">
        <is>
          <t>Score:</t>
        </is>
      </c>
      <c r="B90" s="102" t="inlineStr">
        <is>
          <t>48 / 100</t>
        </is>
      </c>
      <c r="C90" s="102" t="inlineStr">
        <is>
          <t>MODERADO</t>
        </is>
      </c>
    </row>
    <row r="91" ht="15" customHeight="1" s="80">
      <c r="A91" s="103" t="inlineStr">
        <is>
          <t>Factores:</t>
        </is>
      </c>
      <c r="B91" s="82" t="inlineStr">
        <is>
          <t>Equity 39% | Argentina 78% | Top5 34% | Vol 19%</t>
        </is>
      </c>
    </row>
    <row r="94" ht="15" customHeight="1" s="80">
      <c r="A94" s="83" t="inlineStr">
        <is>
          <t>BETA DE LA CARTERA vs MERVAL</t>
        </is>
      </c>
    </row>
    <row r="95" ht="15" customHeight="1" s="80">
      <c r="A95" s="84" t="inlineStr">
        <is>
          <t>Componente</t>
        </is>
      </c>
      <c r="B95" s="84" t="inlineStr">
        <is>
          <t>Peso</t>
        </is>
      </c>
      <c r="C95" s="84" t="inlineStr">
        <is>
          <t>Beta estimada</t>
        </is>
      </c>
      <c r="D95" s="84" t="inlineStr">
        <is>
          <t>Beta ponderada</t>
        </is>
      </c>
    </row>
    <row r="96" ht="15" customHeight="1" s="80">
      <c r="A96" s="85" t="inlineStr">
        <is>
          <t>Acciones ARG (Balanz)</t>
        </is>
      </c>
      <c r="B96" s="87" t="n">
        <v>0.07199999999999999</v>
      </c>
      <c r="C96" s="104" t="n">
        <v>1.1</v>
      </c>
      <c r="D96" s="104" t="n">
        <v>0.07920000000000001</v>
      </c>
    </row>
    <row r="97" ht="15" customHeight="1" s="80">
      <c r="A97" s="85" t="inlineStr">
        <is>
          <t>Acciones ARG (Provincia)</t>
        </is>
      </c>
      <c r="B97" s="87" t="n">
        <v>0.245</v>
      </c>
      <c r="C97" s="104" t="n">
        <v>1.15</v>
      </c>
      <c r="D97" s="104" t="n">
        <v>0.28175</v>
      </c>
    </row>
    <row r="98" ht="15" customHeight="1" s="80">
      <c r="A98" s="85" t="inlineStr">
        <is>
          <t>CEDEARs</t>
        </is>
      </c>
      <c r="B98" s="87" t="n">
        <v>0.055</v>
      </c>
      <c r="C98" s="104" t="n">
        <v>0.7</v>
      </c>
      <c r="D98" s="104" t="n">
        <v>0.0385</v>
      </c>
    </row>
    <row r="99" ht="15" customHeight="1" s="80">
      <c r="A99" s="85" t="inlineStr">
        <is>
          <t>Bonos Soberanos</t>
        </is>
      </c>
      <c r="B99" s="87" t="n">
        <v>0.165</v>
      </c>
      <c r="C99" s="104" t="n">
        <v>0.5</v>
      </c>
      <c r="D99" s="104" t="n">
        <v>0.0825</v>
      </c>
    </row>
    <row r="100" ht="15" customHeight="1" s="80">
      <c r="A100" s="85" t="inlineStr">
        <is>
          <t>ONs / Corporativos</t>
        </is>
      </c>
      <c r="B100" s="87" t="n">
        <v>0.045</v>
      </c>
      <c r="C100" s="104" t="n">
        <v>0.2</v>
      </c>
      <c r="D100" s="104" t="n">
        <v>0.008999999999999999</v>
      </c>
    </row>
    <row r="101" ht="15" customHeight="1" s="80">
      <c r="A101" s="85" t="inlineStr">
        <is>
          <t>FCIs Pesos</t>
        </is>
      </c>
      <c r="B101" s="87" t="n">
        <v>0.244</v>
      </c>
      <c r="C101" s="104" t="n">
        <v>0.05</v>
      </c>
      <c r="D101" s="104" t="n">
        <v>0.0122</v>
      </c>
    </row>
    <row r="102" ht="15" customHeight="1" s="80">
      <c r="A102" s="85" t="inlineStr">
        <is>
          <t>FCIs USD</t>
        </is>
      </c>
      <c r="B102" s="87" t="n">
        <v>0.105</v>
      </c>
      <c r="C102" s="104" t="n">
        <v>0.1</v>
      </c>
      <c r="D102" s="104" t="n">
        <v>0.0105</v>
      </c>
    </row>
    <row r="103" ht="15" customHeight="1" s="80">
      <c r="A103" s="85" t="inlineStr">
        <is>
          <t>Letras</t>
        </is>
      </c>
      <c r="B103" s="87" t="n">
        <v>0.025</v>
      </c>
      <c r="C103" s="104" t="n">
        <v>0.02</v>
      </c>
      <c r="D103" s="104" t="n">
        <v>0.0005</v>
      </c>
    </row>
    <row r="104" ht="15" customHeight="1" s="80">
      <c r="A104" s="85" t="inlineStr">
        <is>
          <t>Cash / Otros</t>
        </is>
      </c>
      <c r="B104" s="87" t="n">
        <v>0.044</v>
      </c>
      <c r="C104" s="104" t="n">
        <v>0</v>
      </c>
      <c r="D104" s="104" t="n">
        <v>0</v>
      </c>
    </row>
    <row r="105" ht="15" customHeight="1" s="80">
      <c r="A105" s="105" t="inlineStr">
        <is>
          <t>BETA TOTAL</t>
        </is>
      </c>
      <c r="B105" s="106" t="n"/>
      <c r="C105" s="105" t="n"/>
      <c r="D105" s="107" t="n">
        <v>0.51415</v>
      </c>
    </row>
    <row r="106" ht="15" customHeight="1" s="80">
      <c r="A106" s="82" t="inlineStr">
        <is>
          <t>Interpretación: Si el Merval cae 10%, tu cartera cae ~5.1%</t>
        </is>
      </c>
    </row>
    <row r="107" ht="15" customHeight="1" s="80">
      <c r="A107" s="82" t="inlineStr">
        <is>
          <t>Beta &lt; 1 = menos volátil que el Merval. Tu cartera tiene Beta 0.51 por el peso de FCIs y renta fija.</t>
        </is>
      </c>
    </row>
    <row r="110" ht="15" customHeight="1" s="80">
      <c r="A110" s="83" t="inlineStr">
        <is>
          <t>DURATION PROMEDIO — RENTA FIJA</t>
        </is>
      </c>
    </row>
    <row r="111" ht="15" customHeight="1" s="80">
      <c r="A111" s="84" t="inlineStr">
        <is>
          <t>Instrumento</t>
        </is>
      </c>
      <c r="B111" s="84" t="inlineStr">
        <is>
          <t>Valor ARS</t>
        </is>
      </c>
      <c r="C111" s="84" t="inlineStr">
        <is>
          <t>Días al Vcto</t>
        </is>
      </c>
      <c r="D111" s="84" t="inlineStr">
        <is>
          <t>Duration pond.</t>
        </is>
      </c>
    </row>
    <row r="112" ht="15" customHeight="1" s="80">
      <c r="A112" s="85" t="inlineStr">
        <is>
          <t>S17A6 Lecap Abr</t>
        </is>
      </c>
      <c r="B112" s="86" t="n">
        <v>46591446</v>
      </c>
      <c r="C112" s="86" t="n">
        <v>9</v>
      </c>
      <c r="D112" s="108" t="n">
        <v>0.251250344505804</v>
      </c>
    </row>
    <row r="113" ht="15" customHeight="1" s="80">
      <c r="A113" s="85" t="inlineStr">
        <is>
          <t>TTJ26 Dual Jun</t>
        </is>
      </c>
      <c r="B113" s="86" t="n">
        <v>16472022</v>
      </c>
      <c r="C113" s="86" t="n">
        <v>83</v>
      </c>
      <c r="D113" s="108" t="n">
        <v>0.819186851936527</v>
      </c>
    </row>
    <row r="114" ht="15" customHeight="1" s="80">
      <c r="A114" s="85" t="inlineStr">
        <is>
          <t>S29Y6 Lecap May</t>
        </is>
      </c>
      <c r="B114" s="86" t="n">
        <v>43123993</v>
      </c>
      <c r="C114" s="86" t="n">
        <v>51</v>
      </c>
      <c r="D114" s="108" t="n">
        <v>1.31779273861537</v>
      </c>
    </row>
    <row r="115" ht="15" customHeight="1" s="80">
      <c r="A115" s="85" t="inlineStr">
        <is>
          <t>T30J6 Cap Jun</t>
        </is>
      </c>
      <c r="B115" s="86" t="n">
        <v>1366500</v>
      </c>
      <c r="C115" s="86" t="n">
        <v>83</v>
      </c>
      <c r="D115" s="108" t="n">
        <v>0.06795879905765451</v>
      </c>
    </row>
    <row r="116" ht="15" customHeight="1" s="80">
      <c r="A116" s="85" t="inlineStr">
        <is>
          <t>TZX26 Boncer Jun</t>
        </is>
      </c>
      <c r="B116" s="86" t="n">
        <v>49130859</v>
      </c>
      <c r="C116" s="86" t="n">
        <v>83</v>
      </c>
      <c r="D116" s="108" t="n">
        <v>2.44337663689057</v>
      </c>
    </row>
    <row r="117" ht="15" customHeight="1" s="80">
      <c r="A117" s="85" t="inlineStr">
        <is>
          <t>TX26 Boncer Nov</t>
        </is>
      </c>
      <c r="B117" s="86" t="n">
        <v>70237475</v>
      </c>
      <c r="C117" s="86" t="n">
        <v>221</v>
      </c>
      <c r="D117" s="108" t="n">
        <v>9.30077485278184</v>
      </c>
    </row>
    <row r="118" ht="15" customHeight="1" s="80">
      <c r="A118" s="85" t="inlineStr">
        <is>
          <t>TTS26 Dual Sep</t>
        </is>
      </c>
      <c r="B118" s="86" t="n">
        <v>24612149</v>
      </c>
      <c r="C118" s="86" t="n">
        <v>160</v>
      </c>
      <c r="D118" s="108" t="n">
        <v>2.35954076788285</v>
      </c>
    </row>
    <row r="119" ht="15" customHeight="1" s="80">
      <c r="A119" s="85" t="inlineStr">
        <is>
          <t>S31G6 Lecap Ago</t>
        </is>
      </c>
      <c r="B119" s="86" t="n">
        <v>44062629</v>
      </c>
      <c r="C119" s="86" t="n">
        <v>145</v>
      </c>
      <c r="D119" s="108" t="n">
        <v>3.82821548123235</v>
      </c>
    </row>
    <row r="120" ht="15" customHeight="1" s="80">
      <c r="A120" s="85" t="inlineStr">
        <is>
          <t>S30O6 Lecap Oct</t>
        </is>
      </c>
      <c r="B120" s="86" t="n">
        <v>116406</v>
      </c>
      <c r="C120" s="86" t="n">
        <v>205</v>
      </c>
      <c r="D120" s="108" t="n">
        <v>0.014298391832415</v>
      </c>
    </row>
    <row r="121" ht="15" customHeight="1" s="80">
      <c r="A121" s="85" t="inlineStr">
        <is>
          <t>S30N6 Lecap Nov</t>
        </is>
      </c>
      <c r="B121" s="86" t="n">
        <v>44719193</v>
      </c>
      <c r="C121" s="86" t="n">
        <v>236</v>
      </c>
      <c r="D121" s="108" t="n">
        <v>6.32359325919585</v>
      </c>
    </row>
    <row r="122" ht="15" customHeight="1" s="80">
      <c r="A122" s="85" t="inlineStr">
        <is>
          <t>TTD26 Dual Dic</t>
        </is>
      </c>
      <c r="B122" s="86" t="n">
        <v>98456237</v>
      </c>
      <c r="C122" s="86" t="n">
        <v>251</v>
      </c>
      <c r="D122" s="108" t="n">
        <v>14.8072674821367</v>
      </c>
    </row>
    <row r="123" ht="15" customHeight="1" s="80">
      <c r="A123" s="85" t="inlineStr">
        <is>
          <t>TZXD6 Boncer Dic</t>
        </is>
      </c>
      <c r="B123" s="86" t="n">
        <v>15768966</v>
      </c>
      <c r="C123" s="86" t="n">
        <v>251</v>
      </c>
      <c r="D123" s="108" t="n">
        <v>2.37156430708112</v>
      </c>
    </row>
    <row r="124" ht="15" customHeight="1" s="80">
      <c r="A124" s="85" t="inlineStr">
        <is>
          <t>T15E7 Cap Ene27</t>
        </is>
      </c>
      <c r="B124" s="86" t="n">
        <v>10110925</v>
      </c>
      <c r="C124" s="86" t="n">
        <v>282</v>
      </c>
      <c r="D124" s="108" t="n">
        <v>1.70843305024346</v>
      </c>
    </row>
    <row r="125" ht="15" customHeight="1" s="80">
      <c r="A125" s="85" t="inlineStr">
        <is>
          <t>TZXM7 Boncer Mar27</t>
        </is>
      </c>
      <c r="B125" s="86" t="n">
        <v>15893335</v>
      </c>
      <c r="C125" s="86" t="n">
        <v>357</v>
      </c>
      <c r="D125" s="108" t="n">
        <v>3.39970489717106</v>
      </c>
    </row>
    <row r="126" ht="15" customHeight="1" s="80">
      <c r="A126" s="85" t="inlineStr">
        <is>
          <t>T30A7 Cap Abr27</t>
        </is>
      </c>
      <c r="B126" s="86" t="n">
        <v>1179500</v>
      </c>
      <c r="C126" s="86" t="n">
        <v>387</v>
      </c>
      <c r="D126" s="108" t="n">
        <v>0.273506012194119</v>
      </c>
    </row>
    <row r="127" ht="15" customHeight="1" s="80">
      <c r="A127" s="85" t="inlineStr">
        <is>
          <t>TZX27 Boncer Jun27</t>
        </is>
      </c>
      <c r="B127" s="86" t="n">
        <v>357800</v>
      </c>
      <c r="C127" s="86" t="n">
        <v>448</v>
      </c>
      <c r="D127" s="108" t="n">
        <v>0.0960453442279969</v>
      </c>
    </row>
    <row r="128" ht="15" customHeight="1" s="80">
      <c r="A128" s="85" t="inlineStr">
        <is>
          <t>BPOC7 Bopreal Oct27</t>
        </is>
      </c>
      <c r="B128" s="86" t="n">
        <v>32795908</v>
      </c>
      <c r="C128" s="86" t="n">
        <v>571</v>
      </c>
      <c r="D128" s="108" t="n">
        <v>11.2205393947454</v>
      </c>
    </row>
    <row r="129" ht="15" customHeight="1" s="80">
      <c r="A129" s="85" t="inlineStr">
        <is>
          <t>BPOA7 Bopreal Oct27</t>
        </is>
      </c>
      <c r="B129" s="86" t="n">
        <v>52901709</v>
      </c>
      <c r="C129" s="86" t="n">
        <v>571</v>
      </c>
      <c r="D129" s="108" t="n">
        <v>18.099383309767</v>
      </c>
    </row>
    <row r="130" ht="15" customHeight="1" s="80">
      <c r="A130" s="85" t="inlineStr">
        <is>
          <t>BPOB7 Bopreal Oct27</t>
        </is>
      </c>
      <c r="B130" s="86" t="n">
        <v>15486220</v>
      </c>
      <c r="C130" s="86" t="n">
        <v>571</v>
      </c>
      <c r="D130" s="108" t="n">
        <v>5.29833604807323</v>
      </c>
    </row>
    <row r="131" ht="15" customHeight="1" s="80">
      <c r="A131" s="85" t="inlineStr">
        <is>
          <t>BPOD7 Bopreal Oct27</t>
        </is>
      </c>
      <c r="B131" s="86" t="n">
        <v>38425755</v>
      </c>
      <c r="C131" s="86" t="n">
        <v>571</v>
      </c>
      <c r="D131" s="108" t="n">
        <v>13.146691890657</v>
      </c>
    </row>
    <row r="132" ht="15" customHeight="1" s="80">
      <c r="A132" s="85" t="inlineStr">
        <is>
          <t>BPY26 Bopreal May26</t>
        </is>
      </c>
      <c r="B132" s="86" t="n">
        <v>10895940</v>
      </c>
      <c r="C132" s="86" t="n">
        <v>53</v>
      </c>
      <c r="D132" s="108" t="n">
        <v>0.346017879123306</v>
      </c>
    </row>
    <row r="133" ht="15" customHeight="1" s="80">
      <c r="A133" s="85" t="inlineStr">
        <is>
          <t>TZX28 Boncer Jun28</t>
        </is>
      </c>
      <c r="B133" s="86" t="n">
        <v>10606246</v>
      </c>
      <c r="C133" s="86" t="n">
        <v>814</v>
      </c>
      <c r="D133" s="108" t="n">
        <v>5.17301893330003</v>
      </c>
    </row>
    <row r="134" ht="15" customHeight="1" s="80">
      <c r="A134" s="85" t="inlineStr">
        <is>
          <t>IRCFO IRSA 2028</t>
        </is>
      </c>
      <c r="B134" s="86" t="n">
        <v>23037392</v>
      </c>
      <c r="C134" s="86" t="n">
        <v>806</v>
      </c>
      <c r="D134" s="108" t="n">
        <v>11.1256737682213</v>
      </c>
    </row>
    <row r="135" ht="15" customHeight="1" s="80">
      <c r="A135" s="85" t="inlineStr">
        <is>
          <t>YMCIO YPF 2029</t>
        </is>
      </c>
      <c r="B135" s="86" t="n">
        <v>27945709</v>
      </c>
      <c r="C135" s="86" t="n">
        <v>1179</v>
      </c>
      <c r="D135" s="108" t="n">
        <v>19.741807129057</v>
      </c>
    </row>
    <row r="136" ht="15" customHeight="1" s="80">
      <c r="A136" s="85" t="inlineStr">
        <is>
          <t>AL30 Bono USD 2030</t>
        </is>
      </c>
      <c r="B136" s="86" t="n">
        <v>330403342</v>
      </c>
      <c r="C136" s="86" t="n">
        <v>1553</v>
      </c>
      <c r="D136" s="108" t="n">
        <v>307.449544829257</v>
      </c>
    </row>
    <row r="137" ht="15" customHeight="1" s="80">
      <c r="A137" s="85" t="inlineStr">
        <is>
          <t>PLC4O Pluspetrol 2032</t>
        </is>
      </c>
      <c r="B137" s="86" t="n">
        <v>19140000</v>
      </c>
      <c r="C137" s="86" t="n">
        <v>2243</v>
      </c>
      <c r="D137" s="108" t="n">
        <v>25.7234475687174</v>
      </c>
    </row>
    <row r="138" ht="15" customHeight="1" s="80">
      <c r="A138" s="85" t="inlineStr">
        <is>
          <t>YFCJO YPF Energía 2032</t>
        </is>
      </c>
      <c r="B138" s="86" t="n">
        <v>15642000</v>
      </c>
      <c r="C138" s="86" t="n">
        <v>2383</v>
      </c>
      <c r="D138" s="108" t="n">
        <v>22.3344000596986</v>
      </c>
    </row>
    <row r="139" ht="15" customHeight="1" s="80">
      <c r="A139" s="85" t="inlineStr">
        <is>
          <t>TLCPO Telecom 2033</t>
        </is>
      </c>
      <c r="B139" s="86" t="n">
        <v>56856394</v>
      </c>
      <c r="C139" s="86" t="n">
        <v>2607</v>
      </c>
      <c r="D139" s="108" t="n">
        <v>88.8133619770488</v>
      </c>
    </row>
    <row r="140" ht="15" customHeight="1" s="80">
      <c r="A140" s="85" t="inlineStr">
        <is>
          <t>VSCVO Vista 2033</t>
        </is>
      </c>
      <c r="B140" s="86" t="n">
        <v>14340600</v>
      </c>
      <c r="C140" s="86" t="n">
        <v>2620</v>
      </c>
      <c r="D140" s="108" t="n">
        <v>22.5126479914604</v>
      </c>
    </row>
    <row r="141" ht="15" customHeight="1" s="80">
      <c r="A141" s="85" t="inlineStr">
        <is>
          <t>YM34O YPF 2034</t>
        </is>
      </c>
      <c r="B141" s="86" t="n">
        <v>117503234</v>
      </c>
      <c r="C141" s="86" t="n">
        <v>2841</v>
      </c>
      <c r="D141" s="108" t="n">
        <v>200.022578091729</v>
      </c>
    </row>
    <row r="142" ht="15" customHeight="1" s="80">
      <c r="A142" s="85" t="inlineStr">
        <is>
          <t>GD35 Global 2035</t>
        </is>
      </c>
      <c r="B142" s="86" t="n">
        <v>164676088</v>
      </c>
      <c r="C142" s="86" t="n">
        <v>3379</v>
      </c>
      <c r="D142" s="108" t="n">
        <v>333.408525155913</v>
      </c>
    </row>
    <row r="143" ht="15" customHeight="1" s="80">
      <c r="A143" s="85" t="inlineStr">
        <is>
          <t>IRCPO IRSA 2035</t>
        </is>
      </c>
      <c r="B143" s="86" t="n">
        <v>65195434</v>
      </c>
      <c r="C143" s="86" t="n">
        <v>3279</v>
      </c>
      <c r="D143" s="108" t="n">
        <v>128.090394899291</v>
      </c>
    </row>
    <row r="144" ht="15" customHeight="1" s="80">
      <c r="A144" s="85" t="inlineStr">
        <is>
          <t>AE38 Bono 2038</t>
        </is>
      </c>
      <c r="B144" s="86" t="n">
        <v>23896235</v>
      </c>
      <c r="C144" s="86" t="n">
        <v>4294</v>
      </c>
      <c r="D144" s="108" t="n">
        <v>61.4822125259079</v>
      </c>
    </row>
    <row r="145" ht="15" customHeight="1" s="80">
      <c r="A145" s="85" t="inlineStr">
        <is>
          <t>GD38 Global 2038</t>
        </is>
      </c>
      <c r="B145" s="86" t="n">
        <v>1946192</v>
      </c>
      <c r="C145" s="86" t="n">
        <v>4294</v>
      </c>
      <c r="D145" s="108" t="n">
        <v>5.00732396380525</v>
      </c>
    </row>
    <row r="146" ht="15" customHeight="1" s="80">
      <c r="A146" s="85" t="inlineStr">
        <is>
          <t>GD41 Global 2041</t>
        </is>
      </c>
      <c r="B146" s="86" t="n">
        <v>165051198</v>
      </c>
      <c r="C146" s="86" t="n">
        <v>5571</v>
      </c>
      <c r="D146" s="108" t="n">
        <v>550.946979665983</v>
      </c>
    </row>
    <row r="147" ht="15" customHeight="1" s="80">
      <c r="A147" s="85" t="inlineStr">
        <is>
          <t>AL41 Bono 2041</t>
        </is>
      </c>
      <c r="B147" s="86" t="n">
        <v>0</v>
      </c>
      <c r="C147" s="86" t="n">
        <v>5571</v>
      </c>
      <c r="D147" s="108" t="n">
        <v>0</v>
      </c>
    </row>
    <row r="148" ht="17.25" customHeight="1" s="80">
      <c r="A148" s="105" t="inlineStr">
        <is>
          <t>DURATION PROMEDIO PONDERADA</t>
        </is>
      </c>
      <c r="B148" s="106" t="n"/>
      <c r="C148" s="109" t="n">
        <v>1879</v>
      </c>
      <c r="D148" s="105">
        <f>5.1 años</f>
        <v/>
      </c>
    </row>
    <row r="149" ht="15" customHeight="1" s="80">
      <c r="A149" s="82" t="inlineStr">
        <is>
          <t>Duration promedio: 1879 días (63 meses / 5.1 años)</t>
        </is>
      </c>
    </row>
    <row r="150" ht="15" customHeight="1" s="80">
      <c r="A150" s="110" t="inlineStr">
        <is>
          <t>Cartera de renta fija de LARGO PLAZO — alta sensibilidad a tasas</t>
        </is>
      </c>
    </row>
    <row r="153" ht="17.25" customHeight="1" s="80">
      <c r="A153" s="111" t="inlineStr">
        <is>
          <t>KPIs RÁPIDOS</t>
        </is>
      </c>
    </row>
    <row r="154" ht="15" customHeight="1" s="80">
      <c r="A154" s="112" t="inlineStr">
        <is>
          <t>Valor Actual</t>
        </is>
      </c>
      <c r="B154" s="112" t="inlineStr">
        <is>
          <t>Rdo Histórico %</t>
        </is>
      </c>
      <c r="C154" s="112" t="inlineStr">
        <is>
          <t>Var Día %</t>
        </is>
      </c>
      <c r="D154" s="112" t="inlineStr">
        <is>
          <t>Var Mensual %</t>
        </is>
      </c>
    </row>
    <row r="155" ht="27.75" customHeight="1" s="80">
      <c r="A155" s="113">
        <f>0</f>
        <v/>
      </c>
      <c r="B155" s="114">
        <f>Resumen!H5</f>
        <v/>
      </c>
      <c r="C155" s="114">
        <f>Resumen!H7</f>
        <v/>
      </c>
      <c r="D155" s="114">
        <f>Resumen!H10</f>
        <v/>
      </c>
    </row>
  </sheetData>
  <mergeCells count="1">
    <mergeCell ref="A153:D15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2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79" min="1" max="1"/>
    <col width="22" customWidth="1" style="79" min="2" max="5"/>
    <col width="14" customWidth="1" style="79" min="6" max="6"/>
    <col width="22" customWidth="1" style="79" min="8" max="8"/>
    <col width="20" customWidth="1" style="79" min="9" max="9"/>
  </cols>
  <sheetData>
    <row r="1" ht="25.5" customHeight="1" s="80">
      <c r="A1" s="111" t="inlineStr">
        <is>
          <t>HISTÓRICO DEL PORTFOLIO</t>
        </is>
      </c>
      <c r="H1" s="111" t="inlineStr">
        <is>
          <t>MÉTRICAS DE RENDIMIENTO</t>
        </is>
      </c>
    </row>
    <row r="2" ht="15" customHeight="1" s="80">
      <c r="A2" s="115" t="inlineStr">
        <is>
          <t>Snapshots diarios — usado para calcular rendimientos histórico y diario</t>
        </is>
      </c>
    </row>
    <row r="4" ht="15" customHeight="1" s="80">
      <c r="A4" s="112" t="inlineStr">
        <is>
          <t>Fecha</t>
        </is>
      </c>
      <c r="B4" s="112" t="inlineStr">
        <is>
          <t>Valor Total ($)</t>
        </is>
      </c>
      <c r="C4" s="112" t="inlineStr">
        <is>
          <t>Costo Total ($)</t>
        </is>
      </c>
      <c r="D4" s="112" t="inlineStr">
        <is>
          <t>P&amp;L Acum ($)</t>
        </is>
      </c>
      <c r="E4" s="112" t="inlineStr">
        <is>
          <t>Var Diaria ($)</t>
        </is>
      </c>
      <c r="F4" s="112" t="inlineStr">
        <is>
          <t>Var Diaria %</t>
        </is>
      </c>
    </row>
    <row r="5" ht="15" customHeight="1" s="80">
      <c r="A5" s="116" t="n">
        <v>46133</v>
      </c>
      <c r="B5" s="117">
        <f>0</f>
        <v/>
      </c>
      <c r="C5" s="117">
        <f>0</f>
        <v/>
      </c>
      <c r="D5" s="118">
        <f>B5-C5</f>
        <v/>
      </c>
      <c r="E5" s="118" t="n"/>
      <c r="F5" s="119" t="n"/>
      <c r="H5" s="120" t="inlineStr">
        <is>
          <t>Valor Actual</t>
        </is>
      </c>
      <c r="I5" s="121">
        <f>IFERROR(INDEX(B5:B205,MATCH(9.99E+307,B5:B205)),0)</f>
        <v/>
      </c>
    </row>
    <row r="6" ht="15" customHeight="1" s="80">
      <c r="A6" s="116" t="n">
        <v>46135</v>
      </c>
      <c r="B6" s="117">
        <f>0</f>
        <v/>
      </c>
      <c r="C6" s="117">
        <f>0</f>
        <v/>
      </c>
      <c r="D6" s="118">
        <f>IF(B6="","",B6-C6)</f>
        <v/>
      </c>
      <c r="E6" s="118">
        <f>IF(OR(B6="",B5=""),"",B6-B5)</f>
        <v/>
      </c>
      <c r="F6" s="119">
        <f>IF(OR(B6="",B5="",B5=0),"",(B6-B5)/B5)</f>
        <v/>
      </c>
      <c r="H6" s="120" t="inlineStr">
        <is>
          <t>Costo Total</t>
        </is>
      </c>
      <c r="I6" s="121">
        <f>0</f>
        <v/>
      </c>
    </row>
    <row r="7" ht="15" customHeight="1" s="80">
      <c r="A7" s="116" t="n"/>
      <c r="B7" s="117" t="n"/>
      <c r="C7" s="117" t="n"/>
      <c r="D7" s="118">
        <f>IF(B7="","",B7-C7)</f>
        <v/>
      </c>
      <c r="E7" s="118">
        <f>IF(OR(B7="",B6=""),"",B7-B6)</f>
        <v/>
      </c>
      <c r="F7" s="119">
        <f>IF(OR(B7="",B6="",B6=0),"",(B7-B6)/B6)</f>
        <v/>
      </c>
      <c r="H7" s="120" t="inlineStr">
        <is>
          <t>P&amp;L Acumulado ($)</t>
        </is>
      </c>
      <c r="I7" s="122">
        <f>I5-I6</f>
        <v/>
      </c>
    </row>
    <row r="8" ht="15" customHeight="1" s="80">
      <c r="A8" s="116" t="n"/>
      <c r="B8" s="117" t="n"/>
      <c r="C8" s="117" t="n"/>
      <c r="D8" s="118">
        <f>IF(B8="","",B8-C8)</f>
        <v/>
      </c>
      <c r="E8" s="118">
        <f>IF(OR(B8="",B7=""),"",B8-B7)</f>
        <v/>
      </c>
      <c r="F8" s="119">
        <f>IF(OR(B8="",B7="",B7=0),"",(B8-B7)/B7)</f>
        <v/>
      </c>
      <c r="H8" s="120" t="inlineStr">
        <is>
          <t>Rdo Total %</t>
        </is>
      </c>
      <c r="I8" s="123">
        <f>IF(I6&gt;0,(I5-I6)/I6,0)</f>
        <v/>
      </c>
    </row>
    <row r="9" ht="15" customHeight="1" s="80">
      <c r="A9" s="116" t="n"/>
      <c r="B9" s="117" t="n"/>
      <c r="C9" s="117" t="n"/>
      <c r="D9" s="118">
        <f>IF(B9="","",B9-C9)</f>
        <v/>
      </c>
      <c r="E9" s="118">
        <f>IF(OR(B9="",B8=""),"",B9-B8)</f>
        <v/>
      </c>
      <c r="F9" s="119">
        <f>IF(OR(B9="",B8="",B8=0),"",(B9-B8)/B8)</f>
        <v/>
      </c>
      <c r="H9" s="120" t="n"/>
    </row>
    <row r="10" ht="15" customHeight="1" s="80">
      <c r="A10" s="116" t="n"/>
      <c r="B10" s="117" t="n"/>
      <c r="C10" s="117" t="n"/>
      <c r="D10" s="118">
        <f>IF(B10="","",B10-C10)</f>
        <v/>
      </c>
      <c r="E10" s="118">
        <f>IF(OR(B10="",B9=""),"",B10-B9)</f>
        <v/>
      </c>
      <c r="F10" s="119">
        <f>IF(OR(B10="",B9="",B9=0),"",(B10-B9)/B9)</f>
        <v/>
      </c>
      <c r="H10" s="120" t="inlineStr">
        <is>
          <t>Var Día ($)</t>
        </is>
      </c>
      <c r="I10" s="122">
        <f>IFERROR(INDEX(E5:E205,MATCH(9.99E+307,B5:B205)),0)</f>
        <v/>
      </c>
    </row>
    <row r="11" ht="15" customHeight="1" s="80">
      <c r="A11" s="116" t="n"/>
      <c r="B11" s="117" t="n"/>
      <c r="C11" s="117" t="n"/>
      <c r="D11" s="118">
        <f>IF(B11="","",B11-C11)</f>
        <v/>
      </c>
      <c r="E11" s="118">
        <f>IF(OR(B11="",B10=""),"",B11-B10)</f>
        <v/>
      </c>
      <c r="F11" s="119">
        <f>IF(OR(B11="",B10="",B10=0),"",(B11-B10)/B10)</f>
        <v/>
      </c>
      <c r="H11" s="120" t="inlineStr">
        <is>
          <t>Var Día %</t>
        </is>
      </c>
      <c r="I11" s="123">
        <f>IFERROR(INDEX(F5:F205,MATCH(9.99E+307,B5:B205)),0)</f>
        <v/>
      </c>
    </row>
    <row r="12" ht="15" customHeight="1" s="80">
      <c r="A12" s="116" t="n"/>
      <c r="B12" s="117" t="n"/>
      <c r="C12" s="117" t="n"/>
      <c r="D12" s="118">
        <f>IF(B12="","",B12-C12)</f>
        <v/>
      </c>
      <c r="E12" s="118">
        <f>IF(OR(B12="",B11=""),"",B12-B11)</f>
        <v/>
      </c>
      <c r="F12" s="119">
        <f>IF(OR(B12="",B11="",B11=0),"",(B12-B11)/B11)</f>
        <v/>
      </c>
      <c r="H12" s="120" t="n"/>
    </row>
    <row r="13" ht="15" customHeight="1" s="80">
      <c r="A13" s="116" t="n"/>
      <c r="B13" s="117" t="n"/>
      <c r="C13" s="117" t="n"/>
      <c r="D13" s="118">
        <f>IF(B13="","",B13-C13)</f>
        <v/>
      </c>
      <c r="E13" s="118">
        <f>IF(OR(B13="",B12=""),"",B13-B12)</f>
        <v/>
      </c>
      <c r="F13" s="119">
        <f>IF(OR(B13="",B12="",B12=0),"",(B13-B12)/B12)</f>
        <v/>
      </c>
      <c r="H13" s="120" t="inlineStr">
        <is>
          <t>Var Semanal %</t>
        </is>
      </c>
      <c r="I13" s="123">
        <f>IFERROR((I5/INDEX(B5:B205,MATCH(9.99E+307,B5:B205)-5)-1),"")</f>
        <v/>
      </c>
    </row>
    <row r="14" ht="15" customHeight="1" s="80">
      <c r="A14" s="116" t="n"/>
      <c r="B14" s="117" t="n"/>
      <c r="C14" s="117" t="n"/>
      <c r="D14" s="118">
        <f>IF(B14="","",B14-C14)</f>
        <v/>
      </c>
      <c r="E14" s="118">
        <f>IF(OR(B14="",B13=""),"",B14-B13)</f>
        <v/>
      </c>
      <c r="F14" s="119">
        <f>IF(OR(B14="",B13="",B13=0),"",(B14-B13)/B13)</f>
        <v/>
      </c>
      <c r="H14" s="120" t="inlineStr">
        <is>
          <t>Var Mensual %</t>
        </is>
      </c>
      <c r="I14" s="123">
        <f>IFERROR((I5/INDEX(B5:B205,MATCH(9.99E+307,B5:B205)-22)-1),"")</f>
        <v/>
      </c>
    </row>
    <row r="15" ht="15" customHeight="1" s="80">
      <c r="A15" s="116" t="n"/>
      <c r="B15" s="117" t="n"/>
      <c r="C15" s="117" t="n"/>
      <c r="D15" s="118">
        <f>IF(B15="","",B15-C15)</f>
        <v/>
      </c>
      <c r="E15" s="118">
        <f>IF(OR(B15="",B14=""),"",B15-B14)</f>
        <v/>
      </c>
      <c r="F15" s="119">
        <f>IF(OR(B15="",B14="",B14=0),"",(B15-B14)/B14)</f>
        <v/>
      </c>
      <c r="H15" s="120" t="inlineStr">
        <is>
          <t>Var YTD %</t>
        </is>
      </c>
      <c r="I15" s="123">
        <f>IFERROR((I5/INDEX(B5:B205,1)-1),"")</f>
        <v/>
      </c>
    </row>
    <row r="16" ht="15" customHeight="1" s="80">
      <c r="A16" s="116" t="n"/>
      <c r="B16" s="117" t="n"/>
      <c r="C16" s="117" t="n"/>
      <c r="D16" s="118">
        <f>IF(B16="","",B16-C16)</f>
        <v/>
      </c>
      <c r="E16" s="118">
        <f>IF(OR(B16="",B15=""),"",B16-B15)</f>
        <v/>
      </c>
      <c r="F16" s="119">
        <f>IF(OR(B16="",B15="",B15=0),"",(B16-B15)/B15)</f>
        <v/>
      </c>
      <c r="H16" s="120" t="n"/>
    </row>
    <row r="17" ht="15" customHeight="1" s="80">
      <c r="A17" s="116" t="n"/>
      <c r="B17" s="117" t="n"/>
      <c r="C17" s="117" t="n"/>
      <c r="D17" s="118">
        <f>IF(B17="","",B17-C17)</f>
        <v/>
      </c>
      <c r="E17" s="118">
        <f>IF(OR(B17="",B16=""),"",B17-B16)</f>
        <v/>
      </c>
      <c r="F17" s="119">
        <f>IF(OR(B17="",B16="",B16=0),"",(B17-B16)/B16)</f>
        <v/>
      </c>
      <c r="H17" s="120" t="inlineStr">
        <is>
          <t>Días registrados</t>
        </is>
      </c>
      <c r="I17" s="124">
        <f>COUNT(B5:B205)</f>
        <v/>
      </c>
    </row>
    <row r="18" ht="15" customHeight="1" s="80">
      <c r="A18" s="116" t="n"/>
      <c r="B18" s="117" t="n"/>
      <c r="C18" s="117" t="n"/>
      <c r="D18" s="118">
        <f>IF(B18="","",B18-C18)</f>
        <v/>
      </c>
      <c r="E18" s="118">
        <f>IF(OR(B18="",B17=""),"",B18-B17)</f>
        <v/>
      </c>
      <c r="F18" s="119">
        <f>IF(OR(B18="",B17="",B17=0),"",(B18-B17)/B17)</f>
        <v/>
      </c>
      <c r="H18" s="120" t="inlineStr">
        <is>
          <t>Primer registro</t>
        </is>
      </c>
      <c r="I18" s="125">
        <f>INDEX(A5:A205,1)</f>
        <v/>
      </c>
    </row>
    <row r="19" ht="15" customHeight="1" s="80">
      <c r="A19" s="116" t="n"/>
      <c r="B19" s="117" t="n"/>
      <c r="C19" s="117" t="n"/>
      <c r="D19" s="118">
        <f>IF(B19="","",B19-C19)</f>
        <v/>
      </c>
      <c r="E19" s="118">
        <f>IF(OR(B19="",B18=""),"",B19-B18)</f>
        <v/>
      </c>
      <c r="F19" s="119">
        <f>IF(OR(B19="",B18="",B18=0),"",(B19-B18)/B18)</f>
        <v/>
      </c>
      <c r="H19" s="120" t="inlineStr">
        <is>
          <t>Último registro</t>
        </is>
      </c>
      <c r="I19" s="125">
        <f>IFERROR(INDEX(A5:A205,MATCH(9.99E+307,B5:B205)),"")</f>
        <v/>
      </c>
    </row>
    <row r="20" ht="15" customHeight="1" s="80">
      <c r="A20" s="116" t="n"/>
      <c r="B20" s="117" t="n"/>
      <c r="C20" s="117" t="n"/>
      <c r="D20" s="118">
        <f>IF(B20="","",B20-C20)</f>
        <v/>
      </c>
      <c r="E20" s="118">
        <f>IF(OR(B20="",B19=""),"",B20-B19)</f>
        <v/>
      </c>
      <c r="F20" s="119">
        <f>IF(OR(B20="",B19="",B19=0),"",(B20-B19)/B19)</f>
        <v/>
      </c>
    </row>
    <row r="21" ht="15" customHeight="1" s="80">
      <c r="A21" s="116" t="n"/>
      <c r="B21" s="117" t="n"/>
      <c r="C21" s="117" t="n"/>
      <c r="D21" s="118">
        <f>IF(B21="","",B21-C21)</f>
        <v/>
      </c>
      <c r="E21" s="118">
        <f>IF(OR(B21="",B20=""),"",B21-B20)</f>
        <v/>
      </c>
      <c r="F21" s="119">
        <f>IF(OR(B21="",B20="",B20=0),"",(B21-B20)/B20)</f>
        <v/>
      </c>
    </row>
    <row r="22" ht="15" customHeight="1" s="80">
      <c r="A22" s="116" t="n"/>
      <c r="B22" s="117" t="n"/>
      <c r="C22" s="117" t="n"/>
      <c r="D22" s="118">
        <f>IF(B22="","",B22-C22)</f>
        <v/>
      </c>
      <c r="E22" s="118">
        <f>IF(OR(B22="",B21=""),"",B22-B21)</f>
        <v/>
      </c>
      <c r="F22" s="119">
        <f>IF(OR(B22="",B21="",B21=0),"",(B22-B21)/B21)</f>
        <v/>
      </c>
    </row>
    <row r="23" ht="15" customHeight="1" s="80">
      <c r="A23" s="116" t="n"/>
      <c r="B23" s="117" t="n"/>
      <c r="C23" s="117" t="n"/>
      <c r="D23" s="118">
        <f>IF(B23="","",B23-C23)</f>
        <v/>
      </c>
      <c r="E23" s="118">
        <f>IF(OR(B23="",B22=""),"",B23-B22)</f>
        <v/>
      </c>
      <c r="F23" s="119">
        <f>IF(OR(B23="",B22="",B22=0),"",(B23-B22)/B22)</f>
        <v/>
      </c>
    </row>
    <row r="24" ht="15" customHeight="1" s="80">
      <c r="A24" s="116" t="n"/>
      <c r="B24" s="117" t="n"/>
      <c r="C24" s="117" t="n"/>
      <c r="D24" s="118">
        <f>IF(B24="","",B24-C24)</f>
        <v/>
      </c>
      <c r="E24" s="118">
        <f>IF(OR(B24="",B23=""),"",B24-B23)</f>
        <v/>
      </c>
      <c r="F24" s="119">
        <f>IF(OR(B24="",B23="",B23=0),"",(B24-B23)/B23)</f>
        <v/>
      </c>
    </row>
    <row r="25" ht="15" customHeight="1" s="80">
      <c r="A25" s="116" t="n"/>
      <c r="B25" s="117" t="n"/>
      <c r="C25" s="117" t="n"/>
      <c r="D25" s="118">
        <f>IF(B25="","",B25-C25)</f>
        <v/>
      </c>
      <c r="E25" s="118">
        <f>IF(OR(B25="",B24=""),"",B25-B24)</f>
        <v/>
      </c>
      <c r="F25" s="119">
        <f>IF(OR(B25="",B24="",B24=0),"",(B25-B24)/B24)</f>
        <v/>
      </c>
    </row>
    <row r="26" ht="15" customHeight="1" s="80">
      <c r="A26" s="116" t="n"/>
      <c r="B26" s="117" t="n"/>
      <c r="C26" s="117" t="n"/>
      <c r="D26" s="118">
        <f>IF(B26="","",B26-C26)</f>
        <v/>
      </c>
      <c r="E26" s="118">
        <f>IF(OR(B26="",B25=""),"",B26-B25)</f>
        <v/>
      </c>
      <c r="F26" s="119">
        <f>IF(OR(B26="",B25="",B25=0),"",(B26-B25)/B25)</f>
        <v/>
      </c>
    </row>
    <row r="27" ht="15" customHeight="1" s="80">
      <c r="A27" s="116" t="n"/>
      <c r="B27" s="117" t="n"/>
      <c r="C27" s="117" t="n"/>
      <c r="D27" s="118">
        <f>IF(B27="","",B27-C27)</f>
        <v/>
      </c>
      <c r="E27" s="118">
        <f>IF(OR(B27="",B26=""),"",B27-B26)</f>
        <v/>
      </c>
      <c r="F27" s="119">
        <f>IF(OR(B27="",B26="",B26=0),"",(B27-B26)/B26)</f>
        <v/>
      </c>
    </row>
    <row r="28" ht="15" customHeight="1" s="80">
      <c r="A28" s="116" t="n"/>
      <c r="B28" s="117" t="n"/>
      <c r="C28" s="117" t="n"/>
      <c r="D28" s="118">
        <f>IF(B28="","",B28-C28)</f>
        <v/>
      </c>
      <c r="E28" s="118">
        <f>IF(OR(B28="",B27=""),"",B28-B27)</f>
        <v/>
      </c>
      <c r="F28" s="119">
        <f>IF(OR(B28="",B27="",B27=0),"",(B28-B27)/B27)</f>
        <v/>
      </c>
    </row>
    <row r="29" ht="15" customHeight="1" s="80">
      <c r="A29" s="116" t="n"/>
      <c r="B29" s="117" t="n"/>
      <c r="C29" s="117" t="n"/>
      <c r="D29" s="118">
        <f>IF(B29="","",B29-C29)</f>
        <v/>
      </c>
      <c r="E29" s="118">
        <f>IF(OR(B29="",B28=""),"",B29-B28)</f>
        <v/>
      </c>
      <c r="F29" s="119">
        <f>IF(OR(B29="",B28="",B28=0),"",(B29-B28)/B28)</f>
        <v/>
      </c>
    </row>
    <row r="30" ht="15" customHeight="1" s="80">
      <c r="A30" s="116" t="n"/>
      <c r="B30" s="117" t="n"/>
      <c r="C30" s="117" t="n"/>
      <c r="D30" s="118">
        <f>IF(B30="","",B30-C30)</f>
        <v/>
      </c>
      <c r="E30" s="118">
        <f>IF(OR(B30="",B29=""),"",B30-B29)</f>
        <v/>
      </c>
      <c r="F30" s="119">
        <f>IF(OR(B30="",B29="",B29=0),"",(B30-B29)/B29)</f>
        <v/>
      </c>
    </row>
    <row r="31" ht="15" customHeight="1" s="80">
      <c r="A31" s="116" t="n"/>
      <c r="B31" s="117" t="n"/>
      <c r="C31" s="117" t="n"/>
      <c r="D31" s="118">
        <f>IF(B31="","",B31-C31)</f>
        <v/>
      </c>
      <c r="E31" s="118">
        <f>IF(OR(B31="",B30=""),"",B31-B30)</f>
        <v/>
      </c>
      <c r="F31" s="119">
        <f>IF(OR(B31="",B30="",B30=0),"",(B31-B30)/B30)</f>
        <v/>
      </c>
    </row>
    <row r="32" ht="15" customHeight="1" s="80">
      <c r="A32" s="116" t="n"/>
      <c r="B32" s="117" t="n"/>
      <c r="C32" s="117" t="n"/>
      <c r="D32" s="118">
        <f>IF(B32="","",B32-C32)</f>
        <v/>
      </c>
      <c r="E32" s="118">
        <f>IF(OR(B32="",B31=""),"",B32-B31)</f>
        <v/>
      </c>
      <c r="F32" s="119">
        <f>IF(OR(B32="",B31="",B31=0),"",(B32-B31)/B31)</f>
        <v/>
      </c>
    </row>
    <row r="33" ht="15" customHeight="1" s="80">
      <c r="A33" s="116" t="n"/>
      <c r="B33" s="117" t="n"/>
      <c r="C33" s="117" t="n"/>
      <c r="D33" s="118">
        <f>IF(B33="","",B33-C33)</f>
        <v/>
      </c>
      <c r="E33" s="118">
        <f>IF(OR(B33="",B32=""),"",B33-B32)</f>
        <v/>
      </c>
      <c r="F33" s="119">
        <f>IF(OR(B33="",B32="",B32=0),"",(B33-B32)/B32)</f>
        <v/>
      </c>
    </row>
    <row r="34" ht="15" customHeight="1" s="80">
      <c r="A34" s="116" t="n"/>
      <c r="B34" s="117" t="n"/>
      <c r="C34" s="117" t="n"/>
      <c r="D34" s="118">
        <f>IF(B34="","",B34-C34)</f>
        <v/>
      </c>
      <c r="E34" s="118">
        <f>IF(OR(B34="",B33=""),"",B34-B33)</f>
        <v/>
      </c>
      <c r="F34" s="119">
        <f>IF(OR(B34="",B33="",B33=0),"",(B34-B33)/B33)</f>
        <v/>
      </c>
    </row>
    <row r="35" ht="15" customHeight="1" s="80">
      <c r="A35" s="116" t="n"/>
      <c r="B35" s="117" t="n"/>
      <c r="C35" s="117" t="n"/>
      <c r="D35" s="118">
        <f>IF(B35="","",B35-C35)</f>
        <v/>
      </c>
      <c r="E35" s="118">
        <f>IF(OR(B35="",B34=""),"",B35-B34)</f>
        <v/>
      </c>
      <c r="F35" s="119">
        <f>IF(OR(B35="",B34="",B34=0),"",(B35-B34)/B34)</f>
        <v/>
      </c>
    </row>
    <row r="36" ht="15" customHeight="1" s="80">
      <c r="A36" s="116" t="n"/>
      <c r="B36" s="117" t="n"/>
      <c r="C36" s="117" t="n"/>
      <c r="D36" s="118">
        <f>IF(B36="","",B36-C36)</f>
        <v/>
      </c>
      <c r="E36" s="118">
        <f>IF(OR(B36="",B35=""),"",B36-B35)</f>
        <v/>
      </c>
      <c r="F36" s="119">
        <f>IF(OR(B36="",B35="",B35=0),"",(B36-B35)/B35)</f>
        <v/>
      </c>
    </row>
    <row r="37" ht="15" customHeight="1" s="80">
      <c r="A37" s="116" t="n"/>
      <c r="B37" s="117" t="n"/>
      <c r="C37" s="117" t="n"/>
      <c r="D37" s="118">
        <f>IF(B37="","",B37-C37)</f>
        <v/>
      </c>
      <c r="E37" s="118">
        <f>IF(OR(B37="",B36=""),"",B37-B36)</f>
        <v/>
      </c>
      <c r="F37" s="119">
        <f>IF(OR(B37="",B36="",B36=0),"",(B37-B36)/B36)</f>
        <v/>
      </c>
    </row>
    <row r="38" ht="15" customHeight="1" s="80">
      <c r="A38" s="116" t="n"/>
      <c r="B38" s="117" t="n"/>
      <c r="C38" s="117" t="n"/>
      <c r="D38" s="118">
        <f>IF(B38="","",B38-C38)</f>
        <v/>
      </c>
      <c r="E38" s="118">
        <f>IF(OR(B38="",B37=""),"",B38-B37)</f>
        <v/>
      </c>
      <c r="F38" s="119">
        <f>IF(OR(B38="",B37="",B37=0),"",(B38-B37)/B37)</f>
        <v/>
      </c>
    </row>
    <row r="39" ht="15" customHeight="1" s="80">
      <c r="A39" s="116" t="n"/>
      <c r="B39" s="117" t="n"/>
      <c r="C39" s="117" t="n"/>
      <c r="D39" s="118">
        <f>IF(B39="","",B39-C39)</f>
        <v/>
      </c>
      <c r="E39" s="118">
        <f>IF(OR(B39="",B38=""),"",B39-B38)</f>
        <v/>
      </c>
      <c r="F39" s="119">
        <f>IF(OR(B39="",B38="",B38=0),"",(B39-B38)/B38)</f>
        <v/>
      </c>
    </row>
    <row r="40" ht="15" customHeight="1" s="80">
      <c r="A40" s="116" t="n"/>
      <c r="B40" s="117" t="n"/>
      <c r="C40" s="117" t="n"/>
      <c r="D40" s="118">
        <f>IF(B40="","",B40-C40)</f>
        <v/>
      </c>
      <c r="E40" s="118">
        <f>IF(OR(B40="",B39=""),"",B40-B39)</f>
        <v/>
      </c>
      <c r="F40" s="119">
        <f>IF(OR(B40="",B39="",B39=0),"",(B40-B39)/B39)</f>
        <v/>
      </c>
    </row>
    <row r="41" ht="15" customHeight="1" s="80">
      <c r="A41" s="116" t="n"/>
      <c r="B41" s="117" t="n"/>
      <c r="C41" s="117" t="n"/>
      <c r="D41" s="118">
        <f>IF(B41="","",B41-C41)</f>
        <v/>
      </c>
      <c r="E41" s="118">
        <f>IF(OR(B41="",B40=""),"",B41-B40)</f>
        <v/>
      </c>
      <c r="F41" s="119">
        <f>IF(OR(B41="",B40="",B40=0),"",(B41-B40)/B40)</f>
        <v/>
      </c>
    </row>
    <row r="42" ht="15" customHeight="1" s="80">
      <c r="A42" s="116" t="n"/>
      <c r="B42" s="117" t="n"/>
      <c r="C42" s="117" t="n"/>
      <c r="D42" s="118">
        <f>IF(B42="","",B42-C42)</f>
        <v/>
      </c>
      <c r="E42" s="118">
        <f>IF(OR(B42="",B41=""),"",B42-B41)</f>
        <v/>
      </c>
      <c r="F42" s="119">
        <f>IF(OR(B42="",B41="",B41=0),"",(B42-B41)/B41)</f>
        <v/>
      </c>
    </row>
    <row r="43" ht="15" customHeight="1" s="80">
      <c r="A43" s="116" t="n"/>
      <c r="B43" s="117" t="n"/>
      <c r="C43" s="117" t="n"/>
      <c r="D43" s="118">
        <f>IF(B43="","",B43-C43)</f>
        <v/>
      </c>
      <c r="E43" s="118">
        <f>IF(OR(B43="",B42=""),"",B43-B42)</f>
        <v/>
      </c>
      <c r="F43" s="119">
        <f>IF(OR(B43="",B42="",B42=0),"",(B43-B42)/B42)</f>
        <v/>
      </c>
    </row>
    <row r="44" ht="15" customHeight="1" s="80">
      <c r="A44" s="116" t="n"/>
      <c r="B44" s="117" t="n"/>
      <c r="C44" s="117" t="n"/>
      <c r="D44" s="118">
        <f>IF(B44="","",B44-C44)</f>
        <v/>
      </c>
      <c r="E44" s="118">
        <f>IF(OR(B44="",B43=""),"",B44-B43)</f>
        <v/>
      </c>
      <c r="F44" s="119">
        <f>IF(OR(B44="",B43="",B43=0),"",(B44-B43)/B43)</f>
        <v/>
      </c>
    </row>
    <row r="45" ht="15" customHeight="1" s="80">
      <c r="A45" s="116" t="n"/>
      <c r="B45" s="117" t="n"/>
      <c r="C45" s="117" t="n"/>
      <c r="D45" s="118">
        <f>IF(B45="","",B45-C45)</f>
        <v/>
      </c>
      <c r="E45" s="118">
        <f>IF(OR(B45="",B44=""),"",B45-B44)</f>
        <v/>
      </c>
      <c r="F45" s="119">
        <f>IF(OR(B45="",B44="",B44=0),"",(B45-B44)/B44)</f>
        <v/>
      </c>
    </row>
    <row r="46" ht="15" customHeight="1" s="80">
      <c r="A46" s="116" t="n"/>
      <c r="B46" s="117" t="n"/>
      <c r="C46" s="117" t="n"/>
      <c r="D46" s="118">
        <f>IF(B46="","",B46-C46)</f>
        <v/>
      </c>
      <c r="E46" s="118">
        <f>IF(OR(B46="",B45=""),"",B46-B45)</f>
        <v/>
      </c>
      <c r="F46" s="119">
        <f>IF(OR(B46="",B45="",B45=0),"",(B46-B45)/B45)</f>
        <v/>
      </c>
    </row>
    <row r="47" ht="15" customHeight="1" s="80">
      <c r="A47" s="116" t="n"/>
      <c r="B47" s="117" t="n"/>
      <c r="C47" s="117" t="n"/>
      <c r="D47" s="118">
        <f>IF(B47="","",B47-C47)</f>
        <v/>
      </c>
      <c r="E47" s="118">
        <f>IF(OR(B47="",B46=""),"",B47-B46)</f>
        <v/>
      </c>
      <c r="F47" s="119">
        <f>IF(OR(B47="",B46="",B46=0),"",(B47-B46)/B46)</f>
        <v/>
      </c>
    </row>
    <row r="48" ht="15" customHeight="1" s="80">
      <c r="A48" s="116" t="n"/>
      <c r="B48" s="117" t="n"/>
      <c r="C48" s="117" t="n"/>
      <c r="D48" s="118">
        <f>IF(B48="","",B48-C48)</f>
        <v/>
      </c>
      <c r="E48" s="118">
        <f>IF(OR(B48="",B47=""),"",B48-B47)</f>
        <v/>
      </c>
      <c r="F48" s="119">
        <f>IF(OR(B48="",B47="",B47=0),"",(B48-B47)/B47)</f>
        <v/>
      </c>
    </row>
    <row r="49" ht="15" customHeight="1" s="80">
      <c r="A49" s="116" t="n"/>
      <c r="B49" s="117" t="n"/>
      <c r="C49" s="117" t="n"/>
      <c r="D49" s="118">
        <f>IF(B49="","",B49-C49)</f>
        <v/>
      </c>
      <c r="E49" s="118">
        <f>IF(OR(B49="",B48=""),"",B49-B48)</f>
        <v/>
      </c>
      <c r="F49" s="119">
        <f>IF(OR(B49="",B48="",B48=0),"",(B49-B48)/B48)</f>
        <v/>
      </c>
    </row>
    <row r="50" ht="15" customHeight="1" s="80">
      <c r="A50" s="116" t="n"/>
      <c r="B50" s="117" t="n"/>
      <c r="C50" s="117" t="n"/>
      <c r="D50" s="118">
        <f>IF(B50="","",B50-C50)</f>
        <v/>
      </c>
      <c r="E50" s="118">
        <f>IF(OR(B50="",B49=""),"",B50-B49)</f>
        <v/>
      </c>
      <c r="F50" s="119">
        <f>IF(OR(B50="",B49="",B49=0),"",(B50-B49)/B49)</f>
        <v/>
      </c>
    </row>
    <row r="51" ht="15" customHeight="1" s="80">
      <c r="A51" s="116" t="n"/>
      <c r="B51" s="117" t="n"/>
      <c r="C51" s="117" t="n"/>
      <c r="D51" s="118">
        <f>IF(B51="","",B51-C51)</f>
        <v/>
      </c>
      <c r="E51" s="118">
        <f>IF(OR(B51="",B50=""),"",B51-B50)</f>
        <v/>
      </c>
      <c r="F51" s="119">
        <f>IF(OR(B51="",B50="",B50=0),"",(B51-B50)/B50)</f>
        <v/>
      </c>
    </row>
    <row r="52" ht="15" customHeight="1" s="80">
      <c r="A52" s="116" t="n"/>
      <c r="B52" s="117" t="n"/>
      <c r="C52" s="117" t="n"/>
      <c r="D52" s="118">
        <f>IF(B52="","",B52-C52)</f>
        <v/>
      </c>
      <c r="E52" s="118">
        <f>IF(OR(B52="",B51=""),"",B52-B51)</f>
        <v/>
      </c>
      <c r="F52" s="119">
        <f>IF(OR(B52="",B51="",B51=0),"",(B52-B51)/B51)</f>
        <v/>
      </c>
    </row>
    <row r="53" ht="15" customHeight="1" s="80">
      <c r="A53" s="116" t="n"/>
      <c r="B53" s="117" t="n"/>
      <c r="C53" s="117" t="n"/>
      <c r="D53" s="118">
        <f>IF(B53="","",B53-C53)</f>
        <v/>
      </c>
      <c r="E53" s="118">
        <f>IF(OR(B53="",B52=""),"",B53-B52)</f>
        <v/>
      </c>
      <c r="F53" s="119">
        <f>IF(OR(B53="",B52="",B52=0),"",(B53-B52)/B52)</f>
        <v/>
      </c>
    </row>
    <row r="54" ht="15" customHeight="1" s="80">
      <c r="A54" s="116" t="n"/>
      <c r="B54" s="117" t="n"/>
      <c r="C54" s="117" t="n"/>
      <c r="D54" s="118">
        <f>IF(B54="","",B54-C54)</f>
        <v/>
      </c>
      <c r="E54" s="118">
        <f>IF(OR(B54="",B53=""),"",B54-B53)</f>
        <v/>
      </c>
      <c r="F54" s="119">
        <f>IF(OR(B54="",B53="",B53=0),"",(B54-B53)/B53)</f>
        <v/>
      </c>
    </row>
    <row r="55" ht="15" customHeight="1" s="80">
      <c r="A55" s="116" t="n"/>
      <c r="B55" s="117" t="n"/>
      <c r="C55" s="117" t="n"/>
      <c r="D55" s="118">
        <f>IF(B55="","",B55-C55)</f>
        <v/>
      </c>
      <c r="E55" s="118">
        <f>IF(OR(B55="",B54=""),"",B55-B54)</f>
        <v/>
      </c>
      <c r="F55" s="119">
        <f>IF(OR(B55="",B54="",B54=0),"",(B55-B54)/B54)</f>
        <v/>
      </c>
    </row>
    <row r="56" ht="15" customHeight="1" s="80">
      <c r="A56" s="116" t="n"/>
      <c r="B56" s="117" t="n"/>
      <c r="C56" s="117" t="n"/>
      <c r="D56" s="118">
        <f>IF(B56="","",B56-C56)</f>
        <v/>
      </c>
      <c r="E56" s="118">
        <f>IF(OR(B56="",B55=""),"",B56-B55)</f>
        <v/>
      </c>
      <c r="F56" s="119">
        <f>IF(OR(B56="",B55="",B55=0),"",(B56-B55)/B55)</f>
        <v/>
      </c>
    </row>
    <row r="57" ht="15" customHeight="1" s="80">
      <c r="A57" s="116" t="n"/>
      <c r="B57" s="117" t="n"/>
      <c r="C57" s="117" t="n"/>
      <c r="D57" s="118">
        <f>IF(B57="","",B57-C57)</f>
        <v/>
      </c>
      <c r="E57" s="118">
        <f>IF(OR(B57="",B56=""),"",B57-B56)</f>
        <v/>
      </c>
      <c r="F57" s="119">
        <f>IF(OR(B57="",B56="",B56=0),"",(B57-B56)/B56)</f>
        <v/>
      </c>
    </row>
    <row r="58" ht="15" customHeight="1" s="80">
      <c r="A58" s="116" t="n"/>
      <c r="B58" s="117" t="n"/>
      <c r="C58" s="117" t="n"/>
      <c r="D58" s="118">
        <f>IF(B58="","",B58-C58)</f>
        <v/>
      </c>
      <c r="E58" s="118">
        <f>IF(OR(B58="",B57=""),"",B58-B57)</f>
        <v/>
      </c>
      <c r="F58" s="119">
        <f>IF(OR(B58="",B57="",B57=0),"",(B58-B57)/B57)</f>
        <v/>
      </c>
    </row>
    <row r="59" ht="15" customHeight="1" s="80">
      <c r="A59" s="116" t="n"/>
      <c r="B59" s="117" t="n"/>
      <c r="C59" s="117" t="n"/>
      <c r="D59" s="118">
        <f>IF(B59="","",B59-C59)</f>
        <v/>
      </c>
      <c r="E59" s="118">
        <f>IF(OR(B59="",B58=""),"",B59-B58)</f>
        <v/>
      </c>
      <c r="F59" s="119">
        <f>IF(OR(B59="",B58="",B58=0),"",(B59-B58)/B58)</f>
        <v/>
      </c>
    </row>
    <row r="60" ht="15" customHeight="1" s="80">
      <c r="A60" s="116" t="n"/>
      <c r="B60" s="117" t="n"/>
      <c r="C60" s="117" t="n"/>
      <c r="D60" s="118">
        <f>IF(B60="","",B60-C60)</f>
        <v/>
      </c>
      <c r="E60" s="118">
        <f>IF(OR(B60="",B59=""),"",B60-B59)</f>
        <v/>
      </c>
      <c r="F60" s="119">
        <f>IF(OR(B60="",B59="",B59=0),"",(B60-B59)/B59)</f>
        <v/>
      </c>
    </row>
    <row r="61" ht="15" customHeight="1" s="80">
      <c r="A61" s="116" t="n"/>
      <c r="B61" s="117" t="n"/>
      <c r="C61" s="117" t="n"/>
      <c r="D61" s="118">
        <f>IF(B61="","",B61-C61)</f>
        <v/>
      </c>
      <c r="E61" s="118">
        <f>IF(OR(B61="",B60=""),"",B61-B60)</f>
        <v/>
      </c>
      <c r="F61" s="119">
        <f>IF(OR(B61="",B60="",B60=0),"",(B61-B60)/B60)</f>
        <v/>
      </c>
    </row>
    <row r="62" ht="15" customHeight="1" s="80">
      <c r="A62" s="116" t="n"/>
      <c r="B62" s="117" t="n"/>
      <c r="C62" s="117" t="n"/>
      <c r="D62" s="118">
        <f>IF(B62="","",B62-C62)</f>
        <v/>
      </c>
      <c r="E62" s="118">
        <f>IF(OR(B62="",B61=""),"",B62-B61)</f>
        <v/>
      </c>
      <c r="F62" s="119">
        <f>IF(OR(B62="",B61="",B61=0),"",(B62-B61)/B61)</f>
        <v/>
      </c>
    </row>
    <row r="63" ht="15" customHeight="1" s="80">
      <c r="A63" s="116" t="n"/>
      <c r="B63" s="117" t="n"/>
      <c r="C63" s="117" t="n"/>
      <c r="D63" s="118">
        <f>IF(B63="","",B63-C63)</f>
        <v/>
      </c>
      <c r="E63" s="118">
        <f>IF(OR(B63="",B62=""),"",B63-B62)</f>
        <v/>
      </c>
      <c r="F63" s="119">
        <f>IF(OR(B63="",B62="",B62=0),"",(B63-B62)/B62)</f>
        <v/>
      </c>
    </row>
    <row r="64" ht="15" customHeight="1" s="80">
      <c r="A64" s="116" t="n"/>
      <c r="B64" s="117" t="n"/>
      <c r="C64" s="117" t="n"/>
      <c r="D64" s="118">
        <f>IF(B64="","",B64-C64)</f>
        <v/>
      </c>
      <c r="E64" s="118">
        <f>IF(OR(B64="",B63=""),"",B64-B63)</f>
        <v/>
      </c>
      <c r="F64" s="119">
        <f>IF(OR(B64="",B63="",B63=0),"",(B64-B63)/B63)</f>
        <v/>
      </c>
    </row>
    <row r="65" ht="15" customHeight="1" s="80">
      <c r="A65" s="116" t="n"/>
      <c r="B65" s="117" t="n"/>
      <c r="C65" s="117" t="n"/>
      <c r="D65" s="118">
        <f>IF(B65="","",B65-C65)</f>
        <v/>
      </c>
      <c r="E65" s="118">
        <f>IF(OR(B65="",B64=""),"",B65-B64)</f>
        <v/>
      </c>
      <c r="F65" s="119">
        <f>IF(OR(B65="",B64="",B64=0),"",(B65-B64)/B64)</f>
        <v/>
      </c>
    </row>
    <row r="66" ht="15" customHeight="1" s="80">
      <c r="A66" s="116" t="n"/>
      <c r="B66" s="117" t="n"/>
      <c r="C66" s="117" t="n"/>
      <c r="D66" s="118">
        <f>IF(B66="","",B66-C66)</f>
        <v/>
      </c>
      <c r="E66" s="118">
        <f>IF(OR(B66="",B65=""),"",B66-B65)</f>
        <v/>
      </c>
      <c r="F66" s="119">
        <f>IF(OR(B66="",B65="",B65=0),"",(B66-B65)/B65)</f>
        <v/>
      </c>
    </row>
    <row r="67" ht="15" customHeight="1" s="80">
      <c r="A67" s="116" t="n"/>
      <c r="B67" s="117" t="n"/>
      <c r="C67" s="117" t="n"/>
      <c r="D67" s="118">
        <f>IF(B67="","",B67-C67)</f>
        <v/>
      </c>
      <c r="E67" s="118">
        <f>IF(OR(B67="",B66=""),"",B67-B66)</f>
        <v/>
      </c>
      <c r="F67" s="119">
        <f>IF(OR(B67="",B66="",B66=0),"",(B67-B66)/B66)</f>
        <v/>
      </c>
    </row>
    <row r="68" ht="15" customHeight="1" s="80">
      <c r="A68" s="116" t="n"/>
      <c r="B68" s="117" t="n"/>
      <c r="C68" s="117" t="n"/>
      <c r="D68" s="118">
        <f>IF(B68="","",B68-C68)</f>
        <v/>
      </c>
      <c r="E68" s="118">
        <f>IF(OR(B68="",B67=""),"",B68-B67)</f>
        <v/>
      </c>
      <c r="F68" s="119">
        <f>IF(OR(B68="",B67="",B67=0),"",(B68-B67)/B67)</f>
        <v/>
      </c>
    </row>
    <row r="69" ht="15" customHeight="1" s="80">
      <c r="A69" s="116" t="n"/>
      <c r="B69" s="117" t="n"/>
      <c r="C69" s="117" t="n"/>
      <c r="D69" s="118">
        <f>IF(B69="","",B69-C69)</f>
        <v/>
      </c>
      <c r="E69" s="118">
        <f>IF(OR(B69="",B68=""),"",B69-B68)</f>
        <v/>
      </c>
      <c r="F69" s="119">
        <f>IF(OR(B69="",B68="",B68=0),"",(B69-B68)/B68)</f>
        <v/>
      </c>
    </row>
    <row r="70" ht="15" customHeight="1" s="80">
      <c r="A70" s="116" t="n"/>
      <c r="B70" s="117" t="n"/>
      <c r="C70" s="117" t="n"/>
      <c r="D70" s="118">
        <f>IF(B70="","",B70-C70)</f>
        <v/>
      </c>
      <c r="E70" s="118">
        <f>IF(OR(B70="",B69=""),"",B70-B69)</f>
        <v/>
      </c>
      <c r="F70" s="119">
        <f>IF(OR(B70="",B69="",B69=0),"",(B70-B69)/B69)</f>
        <v/>
      </c>
    </row>
    <row r="71" ht="15" customHeight="1" s="80">
      <c r="A71" s="116" t="n"/>
      <c r="B71" s="117" t="n"/>
      <c r="C71" s="117" t="n"/>
      <c r="D71" s="118">
        <f>IF(B71="","",B71-C71)</f>
        <v/>
      </c>
      <c r="E71" s="118">
        <f>IF(OR(B71="",B70=""),"",B71-B70)</f>
        <v/>
      </c>
      <c r="F71" s="119">
        <f>IF(OR(B71="",B70="",B70=0),"",(B71-B70)/B70)</f>
        <v/>
      </c>
    </row>
    <row r="72" ht="15" customHeight="1" s="80">
      <c r="A72" s="116" t="n"/>
      <c r="B72" s="117" t="n"/>
      <c r="C72" s="117" t="n"/>
      <c r="D72" s="118">
        <f>IF(B72="","",B72-C72)</f>
        <v/>
      </c>
      <c r="E72" s="118">
        <f>IF(OR(B72="",B71=""),"",B72-B71)</f>
        <v/>
      </c>
      <c r="F72" s="119">
        <f>IF(OR(B72="",B71="",B71=0),"",(B72-B71)/B71)</f>
        <v/>
      </c>
    </row>
    <row r="73" ht="15" customHeight="1" s="80">
      <c r="A73" s="116" t="n"/>
      <c r="B73" s="117" t="n"/>
      <c r="C73" s="117" t="n"/>
      <c r="D73" s="118">
        <f>IF(B73="","",B73-C73)</f>
        <v/>
      </c>
      <c r="E73" s="118">
        <f>IF(OR(B73="",B72=""),"",B73-B72)</f>
        <v/>
      </c>
      <c r="F73" s="119">
        <f>IF(OR(B73="",B72="",B72=0),"",(B73-B72)/B72)</f>
        <v/>
      </c>
    </row>
    <row r="74" ht="15" customHeight="1" s="80">
      <c r="A74" s="116" t="n"/>
      <c r="B74" s="117" t="n"/>
      <c r="C74" s="117" t="n"/>
      <c r="D74" s="118">
        <f>IF(B74="","",B74-C74)</f>
        <v/>
      </c>
      <c r="E74" s="118">
        <f>IF(OR(B74="",B73=""),"",B74-B73)</f>
        <v/>
      </c>
      <c r="F74" s="119">
        <f>IF(OR(B74="",B73="",B73=0),"",(B74-B73)/B73)</f>
        <v/>
      </c>
    </row>
    <row r="75" ht="15" customHeight="1" s="80">
      <c r="A75" s="116" t="n"/>
      <c r="B75" s="117" t="n"/>
      <c r="C75" s="117" t="n"/>
      <c r="D75" s="118">
        <f>IF(B75="","",B75-C75)</f>
        <v/>
      </c>
      <c r="E75" s="118">
        <f>IF(OR(B75="",B74=""),"",B75-B74)</f>
        <v/>
      </c>
      <c r="F75" s="119">
        <f>IF(OR(B75="",B74="",B74=0),"",(B75-B74)/B74)</f>
        <v/>
      </c>
    </row>
    <row r="76" ht="15" customHeight="1" s="80">
      <c r="A76" s="116" t="n"/>
      <c r="B76" s="117" t="n"/>
      <c r="C76" s="117" t="n"/>
      <c r="D76" s="118">
        <f>IF(B76="","",B76-C76)</f>
        <v/>
      </c>
      <c r="E76" s="118">
        <f>IF(OR(B76="",B75=""),"",B76-B75)</f>
        <v/>
      </c>
      <c r="F76" s="119">
        <f>IF(OR(B76="",B75="",B75=0),"",(B76-B75)/B75)</f>
        <v/>
      </c>
    </row>
    <row r="77" ht="15" customHeight="1" s="80">
      <c r="A77" s="116" t="n"/>
      <c r="B77" s="117" t="n"/>
      <c r="C77" s="117" t="n"/>
      <c r="D77" s="118">
        <f>IF(B77="","",B77-C77)</f>
        <v/>
      </c>
      <c r="E77" s="118">
        <f>IF(OR(B77="",B76=""),"",B77-B76)</f>
        <v/>
      </c>
      <c r="F77" s="119">
        <f>IF(OR(B77="",B76="",B76=0),"",(B77-B76)/B76)</f>
        <v/>
      </c>
    </row>
    <row r="78" ht="15" customHeight="1" s="80">
      <c r="A78" s="116" t="n"/>
      <c r="B78" s="117" t="n"/>
      <c r="C78" s="117" t="n"/>
      <c r="D78" s="118">
        <f>IF(B78="","",B78-C78)</f>
        <v/>
      </c>
      <c r="E78" s="118">
        <f>IF(OR(B78="",B77=""),"",B78-B77)</f>
        <v/>
      </c>
      <c r="F78" s="119">
        <f>IF(OR(B78="",B77="",B77=0),"",(B78-B77)/B77)</f>
        <v/>
      </c>
    </row>
    <row r="79" ht="15" customHeight="1" s="80">
      <c r="A79" s="116" t="n"/>
      <c r="B79" s="117" t="n"/>
      <c r="C79" s="117" t="n"/>
      <c r="D79" s="118">
        <f>IF(B79="","",B79-C79)</f>
        <v/>
      </c>
      <c r="E79" s="118">
        <f>IF(OR(B79="",B78=""),"",B79-B78)</f>
        <v/>
      </c>
      <c r="F79" s="119">
        <f>IF(OR(B79="",B78="",B78=0),"",(B79-B78)/B78)</f>
        <v/>
      </c>
    </row>
    <row r="80" ht="15" customHeight="1" s="80">
      <c r="A80" s="116" t="n"/>
      <c r="B80" s="117" t="n"/>
      <c r="C80" s="117" t="n"/>
      <c r="D80" s="118">
        <f>IF(B80="","",B80-C80)</f>
        <v/>
      </c>
      <c r="E80" s="118">
        <f>IF(OR(B80="",B79=""),"",B80-B79)</f>
        <v/>
      </c>
      <c r="F80" s="119">
        <f>IF(OR(B80="",B79="",B79=0),"",(B80-B79)/B79)</f>
        <v/>
      </c>
    </row>
    <row r="81" ht="15" customHeight="1" s="80">
      <c r="A81" s="116" t="n"/>
      <c r="B81" s="117" t="n"/>
      <c r="C81" s="117" t="n"/>
      <c r="D81" s="118">
        <f>IF(B81="","",B81-C81)</f>
        <v/>
      </c>
      <c r="E81" s="118">
        <f>IF(OR(B81="",B80=""),"",B81-B80)</f>
        <v/>
      </c>
      <c r="F81" s="119">
        <f>IF(OR(B81="",B80="",B80=0),"",(B81-B80)/B80)</f>
        <v/>
      </c>
    </row>
    <row r="82" ht="15" customHeight="1" s="80">
      <c r="A82" s="116" t="n"/>
      <c r="B82" s="117" t="n"/>
      <c r="C82" s="117" t="n"/>
      <c r="D82" s="118">
        <f>IF(B82="","",B82-C82)</f>
        <v/>
      </c>
      <c r="E82" s="118">
        <f>IF(OR(B82="",B81=""),"",B82-B81)</f>
        <v/>
      </c>
      <c r="F82" s="119">
        <f>IF(OR(B82="",B81="",B81=0),"",(B82-B81)/B81)</f>
        <v/>
      </c>
    </row>
    <row r="83" ht="15" customHeight="1" s="80">
      <c r="A83" s="116" t="n"/>
      <c r="B83" s="117" t="n"/>
      <c r="C83" s="117" t="n"/>
      <c r="D83" s="118">
        <f>IF(B83="","",B83-C83)</f>
        <v/>
      </c>
      <c r="E83" s="118">
        <f>IF(OR(B83="",B82=""),"",B83-B82)</f>
        <v/>
      </c>
      <c r="F83" s="119">
        <f>IF(OR(B83="",B82="",B82=0),"",(B83-B82)/B82)</f>
        <v/>
      </c>
    </row>
    <row r="84" ht="15" customHeight="1" s="80">
      <c r="A84" s="116" t="n"/>
      <c r="B84" s="117" t="n"/>
      <c r="C84" s="117" t="n"/>
      <c r="D84" s="118">
        <f>IF(B84="","",B84-C84)</f>
        <v/>
      </c>
      <c r="E84" s="118">
        <f>IF(OR(B84="",B83=""),"",B84-B83)</f>
        <v/>
      </c>
      <c r="F84" s="119">
        <f>IF(OR(B84="",B83="",B83=0),"",(B84-B83)/B83)</f>
        <v/>
      </c>
    </row>
    <row r="85" ht="15" customHeight="1" s="80">
      <c r="A85" s="116" t="n"/>
      <c r="B85" s="117" t="n"/>
      <c r="C85" s="117" t="n"/>
      <c r="D85" s="118">
        <f>IF(B85="","",B85-C85)</f>
        <v/>
      </c>
      <c r="E85" s="118">
        <f>IF(OR(B85="",B84=""),"",B85-B84)</f>
        <v/>
      </c>
      <c r="F85" s="119">
        <f>IF(OR(B85="",B84="",B84=0),"",(B85-B84)/B84)</f>
        <v/>
      </c>
    </row>
    <row r="86" ht="15" customHeight="1" s="80">
      <c r="A86" s="116" t="n"/>
      <c r="B86" s="117" t="n"/>
      <c r="C86" s="117" t="n"/>
      <c r="D86" s="118">
        <f>IF(B86="","",B86-C86)</f>
        <v/>
      </c>
      <c r="E86" s="118">
        <f>IF(OR(B86="",B85=""),"",B86-B85)</f>
        <v/>
      </c>
      <c r="F86" s="119">
        <f>IF(OR(B86="",B85="",B85=0),"",(B86-B85)/B85)</f>
        <v/>
      </c>
    </row>
    <row r="87" ht="15" customHeight="1" s="80">
      <c r="A87" s="116" t="n"/>
      <c r="B87" s="117" t="n"/>
      <c r="C87" s="117" t="n"/>
      <c r="D87" s="118">
        <f>IF(B87="","",B87-C87)</f>
        <v/>
      </c>
      <c r="E87" s="118">
        <f>IF(OR(B87="",B86=""),"",B87-B86)</f>
        <v/>
      </c>
      <c r="F87" s="119">
        <f>IF(OR(B87="",B86="",B86=0),"",(B87-B86)/B86)</f>
        <v/>
      </c>
    </row>
    <row r="88" ht="15" customHeight="1" s="80">
      <c r="A88" s="116" t="n"/>
      <c r="B88" s="117" t="n"/>
      <c r="C88" s="117" t="n"/>
      <c r="D88" s="118">
        <f>IF(B88="","",B88-C88)</f>
        <v/>
      </c>
      <c r="E88" s="118">
        <f>IF(OR(B88="",B87=""),"",B88-B87)</f>
        <v/>
      </c>
      <c r="F88" s="119">
        <f>IF(OR(B88="",B87="",B87=0),"",(B88-B87)/B87)</f>
        <v/>
      </c>
    </row>
    <row r="89" ht="15" customHeight="1" s="80">
      <c r="A89" s="116" t="n"/>
      <c r="B89" s="117" t="n"/>
      <c r="C89" s="117" t="n"/>
      <c r="D89" s="118">
        <f>IF(B89="","",B89-C89)</f>
        <v/>
      </c>
      <c r="E89" s="118">
        <f>IF(OR(B89="",B88=""),"",B89-B88)</f>
        <v/>
      </c>
      <c r="F89" s="119">
        <f>IF(OR(B89="",B88="",B88=0),"",(B89-B88)/B88)</f>
        <v/>
      </c>
    </row>
    <row r="90" ht="15" customHeight="1" s="80">
      <c r="A90" s="116" t="n"/>
      <c r="B90" s="117" t="n"/>
      <c r="C90" s="117" t="n"/>
      <c r="D90" s="118">
        <f>IF(B90="","",B90-C90)</f>
        <v/>
      </c>
      <c r="E90" s="118">
        <f>IF(OR(B90="",B89=""),"",B90-B89)</f>
        <v/>
      </c>
      <c r="F90" s="119">
        <f>IF(OR(B90="",B89="",B89=0),"",(B90-B89)/B89)</f>
        <v/>
      </c>
    </row>
    <row r="91" ht="15" customHeight="1" s="80">
      <c r="A91" s="116" t="n"/>
      <c r="B91" s="117" t="n"/>
      <c r="C91" s="117" t="n"/>
      <c r="D91" s="118">
        <f>IF(B91="","",B91-C91)</f>
        <v/>
      </c>
      <c r="E91" s="118">
        <f>IF(OR(B91="",B90=""),"",B91-B90)</f>
        <v/>
      </c>
      <c r="F91" s="119">
        <f>IF(OR(B91="",B90="",B90=0),"",(B91-B90)/B90)</f>
        <v/>
      </c>
    </row>
    <row r="92" ht="15" customHeight="1" s="80">
      <c r="A92" s="116" t="n"/>
      <c r="B92" s="117" t="n"/>
      <c r="C92" s="117" t="n"/>
      <c r="D92" s="118">
        <f>IF(B92="","",B92-C92)</f>
        <v/>
      </c>
      <c r="E92" s="118">
        <f>IF(OR(B92="",B91=""),"",B92-B91)</f>
        <v/>
      </c>
      <c r="F92" s="119">
        <f>IF(OR(B92="",B91="",B91=0),"",(B92-B91)/B91)</f>
        <v/>
      </c>
    </row>
    <row r="93" ht="15" customHeight="1" s="80">
      <c r="A93" s="116" t="n"/>
      <c r="B93" s="117" t="n"/>
      <c r="C93" s="117" t="n"/>
      <c r="D93" s="118">
        <f>IF(B93="","",B93-C93)</f>
        <v/>
      </c>
      <c r="E93" s="118">
        <f>IF(OR(B93="",B92=""),"",B93-B92)</f>
        <v/>
      </c>
      <c r="F93" s="119">
        <f>IF(OR(B93="",B92="",B92=0),"",(B93-B92)/B92)</f>
        <v/>
      </c>
    </row>
    <row r="94" ht="15" customHeight="1" s="80">
      <c r="A94" s="116" t="n"/>
      <c r="B94" s="117" t="n"/>
      <c r="C94" s="117" t="n"/>
      <c r="D94" s="118">
        <f>IF(B94="","",B94-C94)</f>
        <v/>
      </c>
      <c r="E94" s="118">
        <f>IF(OR(B94="",B93=""),"",B94-B93)</f>
        <v/>
      </c>
      <c r="F94" s="119">
        <f>IF(OR(B94="",B93="",B93=0),"",(B94-B93)/B93)</f>
        <v/>
      </c>
    </row>
    <row r="95" ht="15" customHeight="1" s="80">
      <c r="A95" s="116" t="n"/>
      <c r="B95" s="117" t="n"/>
      <c r="C95" s="117" t="n"/>
      <c r="D95" s="118">
        <f>IF(B95="","",B95-C95)</f>
        <v/>
      </c>
      <c r="E95" s="118">
        <f>IF(OR(B95="",B94=""),"",B95-B94)</f>
        <v/>
      </c>
      <c r="F95" s="119">
        <f>IF(OR(B95="",B94="",B94=0),"",(B95-B94)/B94)</f>
        <v/>
      </c>
    </row>
    <row r="96" ht="15" customHeight="1" s="80">
      <c r="A96" s="116" t="n"/>
      <c r="B96" s="117" t="n"/>
      <c r="C96" s="117" t="n"/>
      <c r="D96" s="118">
        <f>IF(B96="","",B96-C96)</f>
        <v/>
      </c>
      <c r="E96" s="118">
        <f>IF(OR(B96="",B95=""),"",B96-B95)</f>
        <v/>
      </c>
      <c r="F96" s="119">
        <f>IF(OR(B96="",B95="",B95=0),"",(B96-B95)/B95)</f>
        <v/>
      </c>
    </row>
    <row r="97" ht="15" customHeight="1" s="80">
      <c r="A97" s="116" t="n"/>
      <c r="B97" s="117" t="n"/>
      <c r="C97" s="117" t="n"/>
      <c r="D97" s="118">
        <f>IF(B97="","",B97-C97)</f>
        <v/>
      </c>
      <c r="E97" s="118">
        <f>IF(OR(B97="",B96=""),"",B97-B96)</f>
        <v/>
      </c>
      <c r="F97" s="119">
        <f>IF(OR(B97="",B96="",B96=0),"",(B97-B96)/B96)</f>
        <v/>
      </c>
    </row>
    <row r="98" ht="15" customHeight="1" s="80">
      <c r="A98" s="116" t="n"/>
      <c r="B98" s="117" t="n"/>
      <c r="C98" s="117" t="n"/>
      <c r="D98" s="118">
        <f>IF(B98="","",B98-C98)</f>
        <v/>
      </c>
      <c r="E98" s="118">
        <f>IF(OR(B98="",B97=""),"",B98-B97)</f>
        <v/>
      </c>
      <c r="F98" s="119">
        <f>IF(OR(B98="",B97="",B97=0),"",(B98-B97)/B97)</f>
        <v/>
      </c>
    </row>
    <row r="99" ht="15" customHeight="1" s="80">
      <c r="A99" s="116" t="n"/>
      <c r="B99" s="117" t="n"/>
      <c r="C99" s="117" t="n"/>
      <c r="D99" s="118">
        <f>IF(B99="","",B99-C99)</f>
        <v/>
      </c>
      <c r="E99" s="118">
        <f>IF(OR(B99="",B98=""),"",B99-B98)</f>
        <v/>
      </c>
      <c r="F99" s="119">
        <f>IF(OR(B99="",B98="",B98=0),"",(B99-B98)/B98)</f>
        <v/>
      </c>
    </row>
    <row r="100" ht="15" customHeight="1" s="80">
      <c r="A100" s="116" t="n"/>
      <c r="B100" s="117" t="n"/>
      <c r="C100" s="117" t="n"/>
      <c r="D100" s="118">
        <f>IF(B100="","",B100-C100)</f>
        <v/>
      </c>
      <c r="E100" s="118">
        <f>IF(OR(B100="",B99=""),"",B100-B99)</f>
        <v/>
      </c>
      <c r="F100" s="119">
        <f>IF(OR(B100="",B99="",B99=0),"",(B100-B99)/B99)</f>
        <v/>
      </c>
    </row>
    <row r="101" ht="15" customHeight="1" s="80">
      <c r="A101" s="116" t="n"/>
      <c r="B101" s="117" t="n"/>
      <c r="C101" s="117" t="n"/>
      <c r="D101" s="118">
        <f>IF(B101="","",B101-C101)</f>
        <v/>
      </c>
      <c r="E101" s="118">
        <f>IF(OR(B101="",B100=""),"",B101-B100)</f>
        <v/>
      </c>
      <c r="F101" s="119">
        <f>IF(OR(B101="",B100="",B100=0),"",(B101-B100)/B100)</f>
        <v/>
      </c>
    </row>
    <row r="102" ht="15" customHeight="1" s="80">
      <c r="A102" s="116" t="n"/>
      <c r="B102" s="117" t="n"/>
      <c r="C102" s="117" t="n"/>
      <c r="D102" s="118">
        <f>IF(B102="","",B102-C102)</f>
        <v/>
      </c>
      <c r="E102" s="118">
        <f>IF(OR(B102="",B101=""),"",B102-B101)</f>
        <v/>
      </c>
      <c r="F102" s="119">
        <f>IF(OR(B102="",B101="",B101=0),"",(B102-B101)/B101)</f>
        <v/>
      </c>
    </row>
    <row r="103" ht="15" customHeight="1" s="80">
      <c r="A103" s="116" t="n"/>
      <c r="B103" s="117" t="n"/>
      <c r="C103" s="117" t="n"/>
      <c r="D103" s="118">
        <f>IF(B103="","",B103-C103)</f>
        <v/>
      </c>
      <c r="E103" s="118">
        <f>IF(OR(B103="",B102=""),"",B103-B102)</f>
        <v/>
      </c>
      <c r="F103" s="119">
        <f>IF(OR(B103="",B102="",B102=0),"",(B103-B102)/B102)</f>
        <v/>
      </c>
    </row>
    <row r="104" ht="15" customHeight="1" s="80">
      <c r="A104" s="116" t="n"/>
      <c r="B104" s="117" t="n"/>
      <c r="C104" s="117" t="n"/>
      <c r="D104" s="118">
        <f>IF(B104="","",B104-C104)</f>
        <v/>
      </c>
      <c r="E104" s="118">
        <f>IF(OR(B104="",B103=""),"",B104-B103)</f>
        <v/>
      </c>
      <c r="F104" s="119">
        <f>IF(OR(B104="",B103="",B103=0),"",(B104-B103)/B103)</f>
        <v/>
      </c>
    </row>
    <row r="105" ht="15" customHeight="1" s="80">
      <c r="A105" s="116" t="n"/>
      <c r="B105" s="117" t="n"/>
      <c r="C105" s="117" t="n"/>
      <c r="D105" s="118">
        <f>IF(B105="","",B105-C105)</f>
        <v/>
      </c>
      <c r="E105" s="118">
        <f>IF(OR(B105="",B104=""),"",B105-B104)</f>
        <v/>
      </c>
      <c r="F105" s="119">
        <f>IF(OR(B105="",B104="",B104=0),"",(B105-B104)/B104)</f>
        <v/>
      </c>
    </row>
    <row r="106" ht="15" customHeight="1" s="80">
      <c r="A106" s="116" t="n"/>
      <c r="B106" s="117" t="n"/>
      <c r="C106" s="117" t="n"/>
      <c r="D106" s="118">
        <f>IF(B106="","",B106-C106)</f>
        <v/>
      </c>
      <c r="E106" s="118">
        <f>IF(OR(B106="",B105=""),"",B106-B105)</f>
        <v/>
      </c>
      <c r="F106" s="119">
        <f>IF(OR(B106="",B105="",B105=0),"",(B106-B105)/B105)</f>
        <v/>
      </c>
    </row>
    <row r="107" ht="15" customHeight="1" s="80">
      <c r="A107" s="116" t="n"/>
      <c r="B107" s="117" t="n"/>
      <c r="C107" s="117" t="n"/>
      <c r="D107" s="118">
        <f>IF(B107="","",B107-C107)</f>
        <v/>
      </c>
      <c r="E107" s="118">
        <f>IF(OR(B107="",B106=""),"",B107-B106)</f>
        <v/>
      </c>
      <c r="F107" s="119">
        <f>IF(OR(B107="",B106="",B106=0),"",(B107-B106)/B106)</f>
        <v/>
      </c>
    </row>
    <row r="108" ht="15" customHeight="1" s="80">
      <c r="A108" s="116" t="n"/>
      <c r="B108" s="117" t="n"/>
      <c r="C108" s="117" t="n"/>
      <c r="D108" s="118">
        <f>IF(B108="","",B108-C108)</f>
        <v/>
      </c>
      <c r="E108" s="118">
        <f>IF(OR(B108="",B107=""),"",B108-B107)</f>
        <v/>
      </c>
      <c r="F108" s="119">
        <f>IF(OR(B108="",B107="",B107=0),"",(B108-B107)/B107)</f>
        <v/>
      </c>
    </row>
    <row r="109" ht="15" customHeight="1" s="80">
      <c r="A109" s="116" t="n"/>
      <c r="B109" s="117" t="n"/>
      <c r="C109" s="117" t="n"/>
      <c r="D109" s="118">
        <f>IF(B109="","",B109-C109)</f>
        <v/>
      </c>
      <c r="E109" s="118">
        <f>IF(OR(B109="",B108=""),"",B109-B108)</f>
        <v/>
      </c>
      <c r="F109" s="119">
        <f>IF(OR(B109="",B108="",B108=0),"",(B109-B108)/B108)</f>
        <v/>
      </c>
    </row>
    <row r="110" ht="15" customHeight="1" s="80">
      <c r="A110" s="116" t="n"/>
      <c r="B110" s="117" t="n"/>
      <c r="C110" s="117" t="n"/>
      <c r="D110" s="118">
        <f>IF(B110="","",B110-C110)</f>
        <v/>
      </c>
      <c r="E110" s="118">
        <f>IF(OR(B110="",B109=""),"",B110-B109)</f>
        <v/>
      </c>
      <c r="F110" s="119">
        <f>IF(OR(B110="",B109="",B109=0),"",(B110-B109)/B109)</f>
        <v/>
      </c>
    </row>
    <row r="111" ht="15" customHeight="1" s="80">
      <c r="A111" s="116" t="n"/>
      <c r="B111" s="117" t="n"/>
      <c r="C111" s="117" t="n"/>
      <c r="D111" s="118">
        <f>IF(B111="","",B111-C111)</f>
        <v/>
      </c>
      <c r="E111" s="118">
        <f>IF(OR(B111="",B110=""),"",B111-B110)</f>
        <v/>
      </c>
      <c r="F111" s="119">
        <f>IF(OR(B111="",B110="",B110=0),"",(B111-B110)/B110)</f>
        <v/>
      </c>
    </row>
    <row r="112" ht="15" customHeight="1" s="80">
      <c r="A112" s="116" t="n"/>
      <c r="B112" s="117" t="n"/>
      <c r="C112" s="117" t="n"/>
      <c r="D112" s="118">
        <f>IF(B112="","",B112-C112)</f>
        <v/>
      </c>
      <c r="E112" s="118">
        <f>IF(OR(B112="",B111=""),"",B112-B111)</f>
        <v/>
      </c>
      <c r="F112" s="119">
        <f>IF(OR(B112="",B111="",B111=0),"",(B112-B111)/B111)</f>
        <v/>
      </c>
    </row>
    <row r="113" ht="15" customHeight="1" s="80">
      <c r="A113" s="116" t="n"/>
      <c r="B113" s="117" t="n"/>
      <c r="C113" s="117" t="n"/>
      <c r="D113" s="118">
        <f>IF(B113="","",B113-C113)</f>
        <v/>
      </c>
      <c r="E113" s="118">
        <f>IF(OR(B113="",B112=""),"",B113-B112)</f>
        <v/>
      </c>
      <c r="F113" s="119">
        <f>IF(OR(B113="",B112="",B112=0),"",(B113-B112)/B112)</f>
        <v/>
      </c>
    </row>
    <row r="114" ht="15" customHeight="1" s="80">
      <c r="A114" s="116" t="n"/>
      <c r="B114" s="117" t="n"/>
      <c r="C114" s="117" t="n"/>
      <c r="D114" s="118">
        <f>IF(B114="","",B114-C114)</f>
        <v/>
      </c>
      <c r="E114" s="118">
        <f>IF(OR(B114="",B113=""),"",B114-B113)</f>
        <v/>
      </c>
      <c r="F114" s="119">
        <f>IF(OR(B114="",B113="",B113=0),"",(B114-B113)/B113)</f>
        <v/>
      </c>
    </row>
    <row r="115" ht="15" customHeight="1" s="80">
      <c r="A115" s="116" t="n"/>
      <c r="B115" s="117" t="n"/>
      <c r="C115" s="117" t="n"/>
      <c r="D115" s="118">
        <f>IF(B115="","",B115-C115)</f>
        <v/>
      </c>
      <c r="E115" s="118">
        <f>IF(OR(B115="",B114=""),"",B115-B114)</f>
        <v/>
      </c>
      <c r="F115" s="119">
        <f>IF(OR(B115="",B114="",B114=0),"",(B115-B114)/B114)</f>
        <v/>
      </c>
    </row>
    <row r="116" ht="15" customHeight="1" s="80">
      <c r="A116" s="116" t="n"/>
      <c r="B116" s="117" t="n"/>
      <c r="C116" s="117" t="n"/>
      <c r="D116" s="118">
        <f>IF(B116="","",B116-C116)</f>
        <v/>
      </c>
      <c r="E116" s="118">
        <f>IF(OR(B116="",B115=""),"",B116-B115)</f>
        <v/>
      </c>
      <c r="F116" s="119">
        <f>IF(OR(B116="",B115="",B115=0),"",(B116-B115)/B115)</f>
        <v/>
      </c>
    </row>
    <row r="117" ht="15" customHeight="1" s="80">
      <c r="A117" s="116" t="n"/>
      <c r="B117" s="117" t="n"/>
      <c r="C117" s="117" t="n"/>
      <c r="D117" s="118">
        <f>IF(B117="","",B117-C117)</f>
        <v/>
      </c>
      <c r="E117" s="118">
        <f>IF(OR(B117="",B116=""),"",B117-B116)</f>
        <v/>
      </c>
      <c r="F117" s="119">
        <f>IF(OR(B117="",B116="",B116=0),"",(B117-B116)/B116)</f>
        <v/>
      </c>
    </row>
    <row r="118" ht="15" customHeight="1" s="80">
      <c r="A118" s="116" t="n"/>
      <c r="B118" s="117" t="n"/>
      <c r="C118" s="117" t="n"/>
      <c r="D118" s="118">
        <f>IF(B118="","",B118-C118)</f>
        <v/>
      </c>
      <c r="E118" s="118">
        <f>IF(OR(B118="",B117=""),"",B118-B117)</f>
        <v/>
      </c>
      <c r="F118" s="119">
        <f>IF(OR(B118="",B117="",B117=0),"",(B118-B117)/B117)</f>
        <v/>
      </c>
    </row>
    <row r="119" ht="15" customHeight="1" s="80">
      <c r="A119" s="116" t="n"/>
      <c r="B119" s="117" t="n"/>
      <c r="C119" s="117" t="n"/>
      <c r="D119" s="118">
        <f>IF(B119="","",B119-C119)</f>
        <v/>
      </c>
      <c r="E119" s="118">
        <f>IF(OR(B119="",B118=""),"",B119-B118)</f>
        <v/>
      </c>
      <c r="F119" s="119">
        <f>IF(OR(B119="",B118="",B118=0),"",(B119-B118)/B118)</f>
        <v/>
      </c>
    </row>
    <row r="120" ht="15" customHeight="1" s="80">
      <c r="A120" s="116" t="n"/>
      <c r="B120" s="117" t="n"/>
      <c r="C120" s="117" t="n"/>
      <c r="D120" s="118">
        <f>IF(B120="","",B120-C120)</f>
        <v/>
      </c>
      <c r="E120" s="118">
        <f>IF(OR(B120="",B119=""),"",B120-B119)</f>
        <v/>
      </c>
      <c r="F120" s="119">
        <f>IF(OR(B120="",B119="",B119=0),"",(B120-B119)/B119)</f>
        <v/>
      </c>
    </row>
    <row r="121" ht="15" customHeight="1" s="80">
      <c r="A121" s="116" t="n"/>
      <c r="B121" s="117" t="n"/>
      <c r="C121" s="117" t="n"/>
      <c r="D121" s="118">
        <f>IF(B121="","",B121-C121)</f>
        <v/>
      </c>
      <c r="E121" s="118">
        <f>IF(OR(B121="",B120=""),"",B121-B120)</f>
        <v/>
      </c>
      <c r="F121" s="119">
        <f>IF(OR(B121="",B120="",B120=0),"",(B121-B120)/B120)</f>
        <v/>
      </c>
    </row>
    <row r="122" ht="15" customHeight="1" s="80">
      <c r="A122" s="116" t="n"/>
      <c r="B122" s="117" t="n"/>
      <c r="C122" s="117" t="n"/>
      <c r="D122" s="118">
        <f>IF(B122="","",B122-C122)</f>
        <v/>
      </c>
      <c r="E122" s="118">
        <f>IF(OR(B122="",B121=""),"",B122-B121)</f>
        <v/>
      </c>
      <c r="F122" s="119">
        <f>IF(OR(B122="",B121="",B121=0),"",(B122-B121)/B121)</f>
        <v/>
      </c>
    </row>
    <row r="123" ht="15" customHeight="1" s="80">
      <c r="A123" s="116" t="n"/>
      <c r="B123" s="117" t="n"/>
      <c r="C123" s="117" t="n"/>
      <c r="D123" s="118">
        <f>IF(B123="","",B123-C123)</f>
        <v/>
      </c>
      <c r="E123" s="118">
        <f>IF(OR(B123="",B122=""),"",B123-B122)</f>
        <v/>
      </c>
      <c r="F123" s="119">
        <f>IF(OR(B123="",B122="",B122=0),"",(B123-B122)/B122)</f>
        <v/>
      </c>
    </row>
    <row r="124" ht="15" customHeight="1" s="80">
      <c r="A124" s="116" t="n"/>
      <c r="B124" s="117" t="n"/>
      <c r="C124" s="117" t="n"/>
      <c r="D124" s="118">
        <f>IF(B124="","",B124-C124)</f>
        <v/>
      </c>
      <c r="E124" s="118">
        <f>IF(OR(B124="",B123=""),"",B124-B123)</f>
        <v/>
      </c>
      <c r="F124" s="119">
        <f>IF(OR(B124="",B123="",B123=0),"",(B124-B123)/B123)</f>
        <v/>
      </c>
    </row>
    <row r="125" ht="15" customHeight="1" s="80">
      <c r="A125" s="116" t="n"/>
      <c r="B125" s="117" t="n"/>
      <c r="C125" s="117" t="n"/>
      <c r="D125" s="118">
        <f>IF(B125="","",B125-C125)</f>
        <v/>
      </c>
      <c r="E125" s="118">
        <f>IF(OR(B125="",B124=""),"",B125-B124)</f>
        <v/>
      </c>
      <c r="F125" s="119">
        <f>IF(OR(B125="",B124="",B124=0),"",(B125-B124)/B124)</f>
        <v/>
      </c>
    </row>
    <row r="126" ht="15" customHeight="1" s="80">
      <c r="A126" s="116" t="n"/>
      <c r="B126" s="117" t="n"/>
      <c r="C126" s="117" t="n"/>
      <c r="D126" s="118">
        <f>IF(B126="","",B126-C126)</f>
        <v/>
      </c>
      <c r="E126" s="118">
        <f>IF(OR(B126="",B125=""),"",B126-B125)</f>
        <v/>
      </c>
      <c r="F126" s="119">
        <f>IF(OR(B126="",B125="",B125=0),"",(B126-B125)/B125)</f>
        <v/>
      </c>
    </row>
    <row r="127" ht="15" customHeight="1" s="80">
      <c r="A127" s="116" t="n"/>
      <c r="B127" s="117" t="n"/>
      <c r="C127" s="117" t="n"/>
      <c r="D127" s="118">
        <f>IF(B127="","",B127-C127)</f>
        <v/>
      </c>
      <c r="E127" s="118">
        <f>IF(OR(B127="",B126=""),"",B127-B126)</f>
        <v/>
      </c>
      <c r="F127" s="119">
        <f>IF(OR(B127="",B126="",B126=0),"",(B127-B126)/B126)</f>
        <v/>
      </c>
    </row>
    <row r="128" ht="15" customHeight="1" s="80">
      <c r="A128" s="116" t="n"/>
      <c r="B128" s="117" t="n"/>
      <c r="C128" s="117" t="n"/>
      <c r="D128" s="118">
        <f>IF(B128="","",B128-C128)</f>
        <v/>
      </c>
      <c r="E128" s="118">
        <f>IF(OR(B128="",B127=""),"",B128-B127)</f>
        <v/>
      </c>
      <c r="F128" s="119">
        <f>IF(OR(B128="",B127="",B127=0),"",(B128-B127)/B127)</f>
        <v/>
      </c>
    </row>
    <row r="129" ht="15" customHeight="1" s="80">
      <c r="A129" s="116" t="n"/>
      <c r="B129" s="117" t="n"/>
      <c r="C129" s="117" t="n"/>
      <c r="D129" s="118">
        <f>IF(B129="","",B129-C129)</f>
        <v/>
      </c>
      <c r="E129" s="118">
        <f>IF(OR(B129="",B128=""),"",B129-B128)</f>
        <v/>
      </c>
      <c r="F129" s="119">
        <f>IF(OR(B129="",B128="",B128=0),"",(B129-B128)/B128)</f>
        <v/>
      </c>
    </row>
    <row r="130" ht="15" customHeight="1" s="80">
      <c r="A130" s="116" t="n"/>
      <c r="B130" s="117" t="n"/>
      <c r="C130" s="117" t="n"/>
      <c r="D130" s="118">
        <f>IF(B130="","",B130-C130)</f>
        <v/>
      </c>
      <c r="E130" s="118">
        <f>IF(OR(B130="",B129=""),"",B130-B129)</f>
        <v/>
      </c>
      <c r="F130" s="119">
        <f>IF(OR(B130="",B129="",B129=0),"",(B130-B129)/B129)</f>
        <v/>
      </c>
    </row>
    <row r="131" ht="15" customHeight="1" s="80">
      <c r="A131" s="116" t="n"/>
      <c r="B131" s="117" t="n"/>
      <c r="C131" s="117" t="n"/>
      <c r="D131" s="118">
        <f>IF(B131="","",B131-C131)</f>
        <v/>
      </c>
      <c r="E131" s="118">
        <f>IF(OR(B131="",B130=""),"",B131-B130)</f>
        <v/>
      </c>
      <c r="F131" s="119">
        <f>IF(OR(B131="",B130="",B130=0),"",(B131-B130)/B130)</f>
        <v/>
      </c>
    </row>
    <row r="132" ht="15" customHeight="1" s="80">
      <c r="A132" s="116" t="n"/>
      <c r="B132" s="117" t="n"/>
      <c r="C132" s="117" t="n"/>
      <c r="D132" s="118">
        <f>IF(B132="","",B132-C132)</f>
        <v/>
      </c>
      <c r="E132" s="118">
        <f>IF(OR(B132="",B131=""),"",B132-B131)</f>
        <v/>
      </c>
      <c r="F132" s="119">
        <f>IF(OR(B132="",B131="",B131=0),"",(B132-B131)/B131)</f>
        <v/>
      </c>
    </row>
    <row r="133" ht="15" customHeight="1" s="80">
      <c r="A133" s="116" t="n"/>
      <c r="B133" s="117" t="n"/>
      <c r="C133" s="117" t="n"/>
      <c r="D133" s="118">
        <f>IF(B133="","",B133-C133)</f>
        <v/>
      </c>
      <c r="E133" s="118">
        <f>IF(OR(B133="",B132=""),"",B133-B132)</f>
        <v/>
      </c>
      <c r="F133" s="119">
        <f>IF(OR(B133="",B132="",B132=0),"",(B133-B132)/B132)</f>
        <v/>
      </c>
    </row>
    <row r="134" ht="15" customHeight="1" s="80">
      <c r="A134" s="116" t="n"/>
      <c r="B134" s="117" t="n"/>
      <c r="C134" s="117" t="n"/>
      <c r="D134" s="118">
        <f>IF(B134="","",B134-C134)</f>
        <v/>
      </c>
      <c r="E134" s="118">
        <f>IF(OR(B134="",B133=""),"",B134-B133)</f>
        <v/>
      </c>
      <c r="F134" s="119">
        <f>IF(OR(B134="",B133="",B133=0),"",(B134-B133)/B133)</f>
        <v/>
      </c>
    </row>
    <row r="135" ht="15" customHeight="1" s="80">
      <c r="A135" s="116" t="n"/>
      <c r="B135" s="117" t="n"/>
      <c r="C135" s="117" t="n"/>
      <c r="D135" s="118">
        <f>IF(B135="","",B135-C135)</f>
        <v/>
      </c>
      <c r="E135" s="118">
        <f>IF(OR(B135="",B134=""),"",B135-B134)</f>
        <v/>
      </c>
      <c r="F135" s="119">
        <f>IF(OR(B135="",B134="",B134=0),"",(B135-B134)/B134)</f>
        <v/>
      </c>
    </row>
    <row r="136" ht="15" customHeight="1" s="80">
      <c r="A136" s="116" t="n"/>
      <c r="B136" s="117" t="n"/>
      <c r="C136" s="117" t="n"/>
      <c r="D136" s="118">
        <f>IF(B136="","",B136-C136)</f>
        <v/>
      </c>
      <c r="E136" s="118">
        <f>IF(OR(B136="",B135=""),"",B136-B135)</f>
        <v/>
      </c>
      <c r="F136" s="119">
        <f>IF(OR(B136="",B135="",B135=0),"",(B136-B135)/B135)</f>
        <v/>
      </c>
    </row>
    <row r="137" ht="15" customHeight="1" s="80">
      <c r="A137" s="116" t="n"/>
      <c r="B137" s="117" t="n"/>
      <c r="C137" s="117" t="n"/>
      <c r="D137" s="118">
        <f>IF(B137="","",B137-C137)</f>
        <v/>
      </c>
      <c r="E137" s="118">
        <f>IF(OR(B137="",B136=""),"",B137-B136)</f>
        <v/>
      </c>
      <c r="F137" s="119">
        <f>IF(OR(B137="",B136="",B136=0),"",(B137-B136)/B136)</f>
        <v/>
      </c>
    </row>
    <row r="138" ht="15" customHeight="1" s="80">
      <c r="A138" s="116" t="n"/>
      <c r="B138" s="117" t="n"/>
      <c r="C138" s="117" t="n"/>
      <c r="D138" s="118">
        <f>IF(B138="","",B138-C138)</f>
        <v/>
      </c>
      <c r="E138" s="118">
        <f>IF(OR(B138="",B137=""),"",B138-B137)</f>
        <v/>
      </c>
      <c r="F138" s="119">
        <f>IF(OR(B138="",B137="",B137=0),"",(B138-B137)/B137)</f>
        <v/>
      </c>
    </row>
    <row r="139" ht="15" customHeight="1" s="80">
      <c r="A139" s="116" t="n"/>
      <c r="B139" s="117" t="n"/>
      <c r="C139" s="117" t="n"/>
      <c r="D139" s="118">
        <f>IF(B139="","",B139-C139)</f>
        <v/>
      </c>
      <c r="E139" s="118">
        <f>IF(OR(B139="",B138=""),"",B139-B138)</f>
        <v/>
      </c>
      <c r="F139" s="119">
        <f>IF(OR(B139="",B138="",B138=0),"",(B139-B138)/B138)</f>
        <v/>
      </c>
    </row>
    <row r="140" ht="15" customHeight="1" s="80">
      <c r="A140" s="116" t="n"/>
      <c r="B140" s="117" t="n"/>
      <c r="C140" s="117" t="n"/>
      <c r="D140" s="118">
        <f>IF(B140="","",B140-C140)</f>
        <v/>
      </c>
      <c r="E140" s="118">
        <f>IF(OR(B140="",B139=""),"",B140-B139)</f>
        <v/>
      </c>
      <c r="F140" s="119">
        <f>IF(OR(B140="",B139="",B139=0),"",(B140-B139)/B139)</f>
        <v/>
      </c>
    </row>
    <row r="141" ht="15" customHeight="1" s="80">
      <c r="A141" s="116" t="n"/>
      <c r="B141" s="117" t="n"/>
      <c r="C141" s="117" t="n"/>
      <c r="D141" s="118">
        <f>IF(B141="","",B141-C141)</f>
        <v/>
      </c>
      <c r="E141" s="118">
        <f>IF(OR(B141="",B140=""),"",B141-B140)</f>
        <v/>
      </c>
      <c r="F141" s="119">
        <f>IF(OR(B141="",B140="",B140=0),"",(B141-B140)/B140)</f>
        <v/>
      </c>
    </row>
    <row r="142" ht="15" customHeight="1" s="80">
      <c r="A142" s="116" t="n"/>
      <c r="B142" s="117" t="n"/>
      <c r="C142" s="117" t="n"/>
      <c r="D142" s="118">
        <f>IF(B142="","",B142-C142)</f>
        <v/>
      </c>
      <c r="E142" s="118">
        <f>IF(OR(B142="",B141=""),"",B142-B141)</f>
        <v/>
      </c>
      <c r="F142" s="119">
        <f>IF(OR(B142="",B141="",B141=0),"",(B142-B141)/B141)</f>
        <v/>
      </c>
    </row>
    <row r="143" ht="15" customHeight="1" s="80">
      <c r="A143" s="116" t="n"/>
      <c r="B143" s="117" t="n"/>
      <c r="C143" s="117" t="n"/>
      <c r="D143" s="118">
        <f>IF(B143="","",B143-C143)</f>
        <v/>
      </c>
      <c r="E143" s="118">
        <f>IF(OR(B143="",B142=""),"",B143-B142)</f>
        <v/>
      </c>
      <c r="F143" s="119">
        <f>IF(OR(B143="",B142="",B142=0),"",(B143-B142)/B142)</f>
        <v/>
      </c>
    </row>
    <row r="144" ht="15" customHeight="1" s="80">
      <c r="A144" s="116" t="n"/>
      <c r="B144" s="117" t="n"/>
      <c r="C144" s="117" t="n"/>
      <c r="D144" s="118">
        <f>IF(B144="","",B144-C144)</f>
        <v/>
      </c>
      <c r="E144" s="118">
        <f>IF(OR(B144="",B143=""),"",B144-B143)</f>
        <v/>
      </c>
      <c r="F144" s="119">
        <f>IF(OR(B144="",B143="",B143=0),"",(B144-B143)/B143)</f>
        <v/>
      </c>
    </row>
    <row r="145" ht="15" customHeight="1" s="80">
      <c r="A145" s="116" t="n"/>
      <c r="B145" s="117" t="n"/>
      <c r="C145" s="117" t="n"/>
      <c r="D145" s="118">
        <f>IF(B145="","",B145-C145)</f>
        <v/>
      </c>
      <c r="E145" s="118">
        <f>IF(OR(B145="",B144=""),"",B145-B144)</f>
        <v/>
      </c>
      <c r="F145" s="119">
        <f>IF(OR(B145="",B144="",B144=0),"",(B145-B144)/B144)</f>
        <v/>
      </c>
    </row>
    <row r="146" ht="15" customHeight="1" s="80">
      <c r="A146" s="116" t="n"/>
      <c r="B146" s="117" t="n"/>
      <c r="C146" s="117" t="n"/>
      <c r="D146" s="118">
        <f>IF(B146="","",B146-C146)</f>
        <v/>
      </c>
      <c r="E146" s="118">
        <f>IF(OR(B146="",B145=""),"",B146-B145)</f>
        <v/>
      </c>
      <c r="F146" s="119">
        <f>IF(OR(B146="",B145="",B145=0),"",(B146-B145)/B145)</f>
        <v/>
      </c>
    </row>
    <row r="147" ht="15" customHeight="1" s="80">
      <c r="A147" s="116" t="n"/>
      <c r="B147" s="117" t="n"/>
      <c r="C147" s="117" t="n"/>
      <c r="D147" s="118">
        <f>IF(B147="","",B147-C147)</f>
        <v/>
      </c>
      <c r="E147" s="118">
        <f>IF(OR(B147="",B146=""),"",B147-B146)</f>
        <v/>
      </c>
      <c r="F147" s="119">
        <f>IF(OR(B147="",B146="",B146=0),"",(B147-B146)/B146)</f>
        <v/>
      </c>
    </row>
    <row r="148" ht="15" customHeight="1" s="80">
      <c r="A148" s="116" t="n"/>
      <c r="B148" s="117" t="n"/>
      <c r="C148" s="117" t="n"/>
      <c r="D148" s="118">
        <f>IF(B148="","",B148-C148)</f>
        <v/>
      </c>
      <c r="E148" s="118">
        <f>IF(OR(B148="",B147=""),"",B148-B147)</f>
        <v/>
      </c>
      <c r="F148" s="119">
        <f>IF(OR(B148="",B147="",B147=0),"",(B148-B147)/B147)</f>
        <v/>
      </c>
    </row>
    <row r="149" ht="15" customHeight="1" s="80">
      <c r="A149" s="116" t="n"/>
      <c r="B149" s="117" t="n"/>
      <c r="C149" s="117" t="n"/>
      <c r="D149" s="118">
        <f>IF(B149="","",B149-C149)</f>
        <v/>
      </c>
      <c r="E149" s="118">
        <f>IF(OR(B149="",B148=""),"",B149-B148)</f>
        <v/>
      </c>
      <c r="F149" s="119">
        <f>IF(OR(B149="",B148="",B148=0),"",(B149-B148)/B148)</f>
        <v/>
      </c>
    </row>
    <row r="150" ht="15" customHeight="1" s="80">
      <c r="A150" s="116" t="n"/>
      <c r="B150" s="117" t="n"/>
      <c r="C150" s="117" t="n"/>
      <c r="D150" s="118">
        <f>IF(B150="","",B150-C150)</f>
        <v/>
      </c>
      <c r="E150" s="118">
        <f>IF(OR(B150="",B149=""),"",B150-B149)</f>
        <v/>
      </c>
      <c r="F150" s="119">
        <f>IF(OR(B150="",B149="",B149=0),"",(B150-B149)/B149)</f>
        <v/>
      </c>
    </row>
    <row r="151" ht="15" customHeight="1" s="80">
      <c r="A151" s="116" t="n"/>
      <c r="B151" s="117" t="n"/>
      <c r="C151" s="117" t="n"/>
      <c r="D151" s="118">
        <f>IF(B151="","",B151-C151)</f>
        <v/>
      </c>
      <c r="E151" s="118">
        <f>IF(OR(B151="",B150=""),"",B151-B150)</f>
        <v/>
      </c>
      <c r="F151" s="119">
        <f>IF(OR(B151="",B150="",B150=0),"",(B151-B150)/B150)</f>
        <v/>
      </c>
    </row>
    <row r="152" ht="15" customHeight="1" s="80">
      <c r="A152" s="116" t="n"/>
      <c r="B152" s="117" t="n"/>
      <c r="C152" s="117" t="n"/>
      <c r="D152" s="118">
        <f>IF(B152="","",B152-C152)</f>
        <v/>
      </c>
      <c r="E152" s="118">
        <f>IF(OR(B152="",B151=""),"",B152-B151)</f>
        <v/>
      </c>
      <c r="F152" s="119">
        <f>IF(OR(B152="",B151="",B151=0),"",(B152-B151)/B151)</f>
        <v/>
      </c>
    </row>
    <row r="153" ht="15" customHeight="1" s="80">
      <c r="A153" s="116" t="n"/>
      <c r="B153" s="117" t="n"/>
      <c r="C153" s="117" t="n"/>
      <c r="D153" s="118">
        <f>IF(B153="","",B153-C153)</f>
        <v/>
      </c>
      <c r="E153" s="118">
        <f>IF(OR(B153="",B152=""),"",B153-B152)</f>
        <v/>
      </c>
      <c r="F153" s="119">
        <f>IF(OR(B153="",B152="",B152=0),"",(B153-B152)/B152)</f>
        <v/>
      </c>
    </row>
    <row r="154" ht="15" customHeight="1" s="80">
      <c r="A154" s="116" t="n"/>
      <c r="B154" s="117" t="n"/>
      <c r="C154" s="117" t="n"/>
      <c r="D154" s="118">
        <f>IF(B154="","",B154-C154)</f>
        <v/>
      </c>
      <c r="E154" s="118">
        <f>IF(OR(B154="",B153=""),"",B154-B153)</f>
        <v/>
      </c>
      <c r="F154" s="119">
        <f>IF(OR(B154="",B153="",B153=0),"",(B154-B153)/B153)</f>
        <v/>
      </c>
    </row>
    <row r="155" ht="15" customHeight="1" s="80">
      <c r="A155" s="116" t="n"/>
      <c r="B155" s="117" t="n"/>
      <c r="C155" s="117" t="n"/>
      <c r="D155" s="118">
        <f>IF(B155="","",B155-C155)</f>
        <v/>
      </c>
      <c r="E155" s="118">
        <f>IF(OR(B155="",B154=""),"",B155-B154)</f>
        <v/>
      </c>
      <c r="F155" s="119">
        <f>IF(OR(B155="",B154="",B154=0),"",(B155-B154)/B154)</f>
        <v/>
      </c>
    </row>
    <row r="156" ht="15" customHeight="1" s="80">
      <c r="A156" s="116" t="n"/>
      <c r="B156" s="117" t="n"/>
      <c r="C156" s="117" t="n"/>
      <c r="D156" s="118">
        <f>IF(B156="","",B156-C156)</f>
        <v/>
      </c>
      <c r="E156" s="118">
        <f>IF(OR(B156="",B155=""),"",B156-B155)</f>
        <v/>
      </c>
      <c r="F156" s="119">
        <f>IF(OR(B156="",B155="",B155=0),"",(B156-B155)/B155)</f>
        <v/>
      </c>
    </row>
    <row r="157" ht="15" customHeight="1" s="80">
      <c r="A157" s="116" t="n"/>
      <c r="B157" s="117" t="n"/>
      <c r="C157" s="117" t="n"/>
      <c r="D157" s="118">
        <f>IF(B157="","",B157-C157)</f>
        <v/>
      </c>
      <c r="E157" s="118">
        <f>IF(OR(B157="",B156=""),"",B157-B156)</f>
        <v/>
      </c>
      <c r="F157" s="119">
        <f>IF(OR(B157="",B156="",B156=0),"",(B157-B156)/B156)</f>
        <v/>
      </c>
    </row>
    <row r="158" ht="15" customHeight="1" s="80">
      <c r="A158" s="116" t="n"/>
      <c r="B158" s="117" t="n"/>
      <c r="C158" s="117" t="n"/>
      <c r="D158" s="118">
        <f>IF(B158="","",B158-C158)</f>
        <v/>
      </c>
      <c r="E158" s="118">
        <f>IF(OR(B158="",B157=""),"",B158-B157)</f>
        <v/>
      </c>
      <c r="F158" s="119">
        <f>IF(OR(B158="",B157="",B157=0),"",(B158-B157)/B157)</f>
        <v/>
      </c>
    </row>
    <row r="159" ht="15" customHeight="1" s="80">
      <c r="A159" s="116" t="n"/>
      <c r="B159" s="117" t="n"/>
      <c r="C159" s="117" t="n"/>
      <c r="D159" s="118">
        <f>IF(B159="","",B159-C159)</f>
        <v/>
      </c>
      <c r="E159" s="118">
        <f>IF(OR(B159="",B158=""),"",B159-B158)</f>
        <v/>
      </c>
      <c r="F159" s="119">
        <f>IF(OR(B159="",B158="",B158=0),"",(B159-B158)/B158)</f>
        <v/>
      </c>
    </row>
    <row r="160" ht="15" customHeight="1" s="80">
      <c r="A160" s="116" t="n"/>
      <c r="B160" s="117" t="n"/>
      <c r="C160" s="117" t="n"/>
      <c r="D160" s="118">
        <f>IF(B160="","",B160-C160)</f>
        <v/>
      </c>
      <c r="E160" s="118">
        <f>IF(OR(B160="",B159=""),"",B160-B159)</f>
        <v/>
      </c>
      <c r="F160" s="119">
        <f>IF(OR(B160="",B159="",B159=0),"",(B160-B159)/B159)</f>
        <v/>
      </c>
    </row>
    <row r="161" ht="15" customHeight="1" s="80">
      <c r="A161" s="116" t="n"/>
      <c r="B161" s="117" t="n"/>
      <c r="C161" s="117" t="n"/>
      <c r="D161" s="118">
        <f>IF(B161="","",B161-C161)</f>
        <v/>
      </c>
      <c r="E161" s="118">
        <f>IF(OR(B161="",B160=""),"",B161-B160)</f>
        <v/>
      </c>
      <c r="F161" s="119">
        <f>IF(OR(B161="",B160="",B160=0),"",(B161-B160)/B160)</f>
        <v/>
      </c>
    </row>
    <row r="162" ht="15" customHeight="1" s="80">
      <c r="A162" s="116" t="n"/>
      <c r="B162" s="117" t="n"/>
      <c r="C162" s="117" t="n"/>
      <c r="D162" s="118">
        <f>IF(B162="","",B162-C162)</f>
        <v/>
      </c>
      <c r="E162" s="118">
        <f>IF(OR(B162="",B161=""),"",B162-B161)</f>
        <v/>
      </c>
      <c r="F162" s="119">
        <f>IF(OR(B162="",B161="",B161=0),"",(B162-B161)/B161)</f>
        <v/>
      </c>
    </row>
    <row r="163" ht="15" customHeight="1" s="80">
      <c r="A163" s="116" t="n"/>
      <c r="B163" s="117" t="n"/>
      <c r="C163" s="117" t="n"/>
      <c r="D163" s="118">
        <f>IF(B163="","",B163-C163)</f>
        <v/>
      </c>
      <c r="E163" s="118">
        <f>IF(OR(B163="",B162=""),"",B163-B162)</f>
        <v/>
      </c>
      <c r="F163" s="119">
        <f>IF(OR(B163="",B162="",B162=0),"",(B163-B162)/B162)</f>
        <v/>
      </c>
    </row>
    <row r="164" ht="15" customHeight="1" s="80">
      <c r="A164" s="116" t="n"/>
      <c r="B164" s="117" t="n"/>
      <c r="C164" s="117" t="n"/>
      <c r="D164" s="118">
        <f>IF(B164="","",B164-C164)</f>
        <v/>
      </c>
      <c r="E164" s="118">
        <f>IF(OR(B164="",B163=""),"",B164-B163)</f>
        <v/>
      </c>
      <c r="F164" s="119">
        <f>IF(OR(B164="",B163="",B163=0),"",(B164-B163)/B163)</f>
        <v/>
      </c>
    </row>
    <row r="165" ht="15" customHeight="1" s="80">
      <c r="A165" s="116" t="n"/>
      <c r="B165" s="117" t="n"/>
      <c r="C165" s="117" t="n"/>
      <c r="D165" s="118">
        <f>IF(B165="","",B165-C165)</f>
        <v/>
      </c>
      <c r="E165" s="118">
        <f>IF(OR(B165="",B164=""),"",B165-B164)</f>
        <v/>
      </c>
      <c r="F165" s="119">
        <f>IF(OR(B165="",B164="",B164=0),"",(B165-B164)/B164)</f>
        <v/>
      </c>
    </row>
    <row r="166" ht="15" customHeight="1" s="80">
      <c r="A166" s="116" t="n"/>
      <c r="B166" s="117" t="n"/>
      <c r="C166" s="117" t="n"/>
      <c r="D166" s="118">
        <f>IF(B166="","",B166-C166)</f>
        <v/>
      </c>
      <c r="E166" s="118">
        <f>IF(OR(B166="",B165=""),"",B166-B165)</f>
        <v/>
      </c>
      <c r="F166" s="119">
        <f>IF(OR(B166="",B165="",B165=0),"",(B166-B165)/B165)</f>
        <v/>
      </c>
    </row>
    <row r="167" ht="15" customHeight="1" s="80">
      <c r="A167" s="116" t="n"/>
      <c r="B167" s="117" t="n"/>
      <c r="C167" s="117" t="n"/>
      <c r="D167" s="118">
        <f>IF(B167="","",B167-C167)</f>
        <v/>
      </c>
      <c r="E167" s="118">
        <f>IF(OR(B167="",B166=""),"",B167-B166)</f>
        <v/>
      </c>
      <c r="F167" s="119">
        <f>IF(OR(B167="",B166="",B166=0),"",(B167-B166)/B166)</f>
        <v/>
      </c>
    </row>
    <row r="168" ht="15" customHeight="1" s="80">
      <c r="A168" s="116" t="n"/>
      <c r="B168" s="117" t="n"/>
      <c r="C168" s="117" t="n"/>
      <c r="D168" s="118">
        <f>IF(B168="","",B168-C168)</f>
        <v/>
      </c>
      <c r="E168" s="118">
        <f>IF(OR(B168="",B167=""),"",B168-B167)</f>
        <v/>
      </c>
      <c r="F168" s="119">
        <f>IF(OR(B168="",B167="",B167=0),"",(B168-B167)/B167)</f>
        <v/>
      </c>
    </row>
    <row r="169" ht="15" customHeight="1" s="80">
      <c r="A169" s="116" t="n"/>
      <c r="B169" s="117" t="n"/>
      <c r="C169" s="117" t="n"/>
      <c r="D169" s="118">
        <f>IF(B169="","",B169-C169)</f>
        <v/>
      </c>
      <c r="E169" s="118">
        <f>IF(OR(B169="",B168=""),"",B169-B168)</f>
        <v/>
      </c>
      <c r="F169" s="119">
        <f>IF(OR(B169="",B168="",B168=0),"",(B169-B168)/B168)</f>
        <v/>
      </c>
    </row>
    <row r="170" ht="15" customHeight="1" s="80">
      <c r="A170" s="116" t="n"/>
      <c r="B170" s="117" t="n"/>
      <c r="C170" s="117" t="n"/>
      <c r="D170" s="118">
        <f>IF(B170="","",B170-C170)</f>
        <v/>
      </c>
      <c r="E170" s="118">
        <f>IF(OR(B170="",B169=""),"",B170-B169)</f>
        <v/>
      </c>
      <c r="F170" s="119">
        <f>IF(OR(B170="",B169="",B169=0),"",(B170-B169)/B169)</f>
        <v/>
      </c>
    </row>
    <row r="171" ht="15" customHeight="1" s="80">
      <c r="A171" s="116" t="n"/>
      <c r="B171" s="117" t="n"/>
      <c r="C171" s="117" t="n"/>
      <c r="D171" s="118">
        <f>IF(B171="","",B171-C171)</f>
        <v/>
      </c>
      <c r="E171" s="118">
        <f>IF(OR(B171="",B170=""),"",B171-B170)</f>
        <v/>
      </c>
      <c r="F171" s="119">
        <f>IF(OR(B171="",B170="",B170=0),"",(B171-B170)/B170)</f>
        <v/>
      </c>
    </row>
    <row r="172" ht="15" customHeight="1" s="80">
      <c r="A172" s="116" t="n"/>
      <c r="B172" s="117" t="n"/>
      <c r="C172" s="117" t="n"/>
      <c r="D172" s="118">
        <f>IF(B172="","",B172-C172)</f>
        <v/>
      </c>
      <c r="E172" s="118">
        <f>IF(OR(B172="",B171=""),"",B172-B171)</f>
        <v/>
      </c>
      <c r="F172" s="119">
        <f>IF(OR(B172="",B171="",B171=0),"",(B172-B171)/B171)</f>
        <v/>
      </c>
    </row>
    <row r="173" ht="15" customHeight="1" s="80">
      <c r="A173" s="116" t="n"/>
      <c r="B173" s="117" t="n"/>
      <c r="C173" s="117" t="n"/>
      <c r="D173" s="118">
        <f>IF(B173="","",B173-C173)</f>
        <v/>
      </c>
      <c r="E173" s="118">
        <f>IF(OR(B173="",B172=""),"",B173-B172)</f>
        <v/>
      </c>
      <c r="F173" s="119">
        <f>IF(OR(B173="",B172="",B172=0),"",(B173-B172)/B172)</f>
        <v/>
      </c>
    </row>
    <row r="174" ht="15" customHeight="1" s="80">
      <c r="A174" s="116" t="n"/>
      <c r="B174" s="117" t="n"/>
      <c r="C174" s="117" t="n"/>
      <c r="D174" s="118">
        <f>IF(B174="","",B174-C174)</f>
        <v/>
      </c>
      <c r="E174" s="118">
        <f>IF(OR(B174="",B173=""),"",B174-B173)</f>
        <v/>
      </c>
      <c r="F174" s="119">
        <f>IF(OR(B174="",B173="",B173=0),"",(B174-B173)/B173)</f>
        <v/>
      </c>
    </row>
    <row r="175" ht="15" customHeight="1" s="80">
      <c r="A175" s="116" t="n"/>
      <c r="B175" s="117" t="n"/>
      <c r="C175" s="117" t="n"/>
      <c r="D175" s="118">
        <f>IF(B175="","",B175-C175)</f>
        <v/>
      </c>
      <c r="E175" s="118">
        <f>IF(OR(B175="",B174=""),"",B175-B174)</f>
        <v/>
      </c>
      <c r="F175" s="119">
        <f>IF(OR(B175="",B174="",B174=0),"",(B175-B174)/B174)</f>
        <v/>
      </c>
    </row>
    <row r="176" ht="15" customHeight="1" s="80">
      <c r="A176" s="116" t="n"/>
      <c r="B176" s="117" t="n"/>
      <c r="C176" s="117" t="n"/>
      <c r="D176" s="118">
        <f>IF(B176="","",B176-C176)</f>
        <v/>
      </c>
      <c r="E176" s="118">
        <f>IF(OR(B176="",B175=""),"",B176-B175)</f>
        <v/>
      </c>
      <c r="F176" s="119">
        <f>IF(OR(B176="",B175="",B175=0),"",(B176-B175)/B175)</f>
        <v/>
      </c>
    </row>
    <row r="177" ht="15" customHeight="1" s="80">
      <c r="A177" s="116" t="n"/>
      <c r="B177" s="117" t="n"/>
      <c r="C177" s="117" t="n"/>
      <c r="D177" s="118">
        <f>IF(B177="","",B177-C177)</f>
        <v/>
      </c>
      <c r="E177" s="118">
        <f>IF(OR(B177="",B176=""),"",B177-B176)</f>
        <v/>
      </c>
      <c r="F177" s="119">
        <f>IF(OR(B177="",B176="",B176=0),"",(B177-B176)/B176)</f>
        <v/>
      </c>
    </row>
    <row r="178" ht="15" customHeight="1" s="80">
      <c r="A178" s="116" t="n"/>
      <c r="B178" s="117" t="n"/>
      <c r="C178" s="117" t="n"/>
      <c r="D178" s="118">
        <f>IF(B178="","",B178-C178)</f>
        <v/>
      </c>
      <c r="E178" s="118">
        <f>IF(OR(B178="",B177=""),"",B178-B177)</f>
        <v/>
      </c>
      <c r="F178" s="119">
        <f>IF(OR(B178="",B177="",B177=0),"",(B178-B177)/B177)</f>
        <v/>
      </c>
    </row>
    <row r="179" ht="15" customHeight="1" s="80">
      <c r="A179" s="116" t="n"/>
      <c r="B179" s="117" t="n"/>
      <c r="C179" s="117" t="n"/>
      <c r="D179" s="118">
        <f>IF(B179="","",B179-C179)</f>
        <v/>
      </c>
      <c r="E179" s="118">
        <f>IF(OR(B179="",B178=""),"",B179-B178)</f>
        <v/>
      </c>
      <c r="F179" s="119">
        <f>IF(OR(B179="",B178="",B178=0),"",(B179-B178)/B178)</f>
        <v/>
      </c>
    </row>
    <row r="180" ht="15" customHeight="1" s="80">
      <c r="A180" s="116" t="n"/>
      <c r="B180" s="117" t="n"/>
      <c r="C180" s="117" t="n"/>
      <c r="D180" s="118">
        <f>IF(B180="","",B180-C180)</f>
        <v/>
      </c>
      <c r="E180" s="118">
        <f>IF(OR(B180="",B179=""),"",B180-B179)</f>
        <v/>
      </c>
      <c r="F180" s="119">
        <f>IF(OR(B180="",B179="",B179=0),"",(B180-B179)/B179)</f>
        <v/>
      </c>
    </row>
    <row r="181" ht="15" customHeight="1" s="80">
      <c r="A181" s="116" t="n"/>
      <c r="B181" s="117" t="n"/>
      <c r="C181" s="117" t="n"/>
      <c r="D181" s="118">
        <f>IF(B181="","",B181-C181)</f>
        <v/>
      </c>
      <c r="E181" s="118">
        <f>IF(OR(B181="",B180=""),"",B181-B180)</f>
        <v/>
      </c>
      <c r="F181" s="119">
        <f>IF(OR(B181="",B180="",B180=0),"",(B181-B180)/B180)</f>
        <v/>
      </c>
    </row>
    <row r="182" ht="15" customHeight="1" s="80">
      <c r="A182" s="116" t="n"/>
      <c r="B182" s="117" t="n"/>
      <c r="C182" s="117" t="n"/>
      <c r="D182" s="118">
        <f>IF(B182="","",B182-C182)</f>
        <v/>
      </c>
      <c r="E182" s="118">
        <f>IF(OR(B182="",B181=""),"",B182-B181)</f>
        <v/>
      </c>
      <c r="F182" s="119">
        <f>IF(OR(B182="",B181="",B181=0),"",(B182-B181)/B181)</f>
        <v/>
      </c>
    </row>
    <row r="183" ht="15" customHeight="1" s="80">
      <c r="A183" s="116" t="n"/>
      <c r="B183" s="117" t="n"/>
      <c r="C183" s="117" t="n"/>
      <c r="D183" s="118">
        <f>IF(B183="","",B183-C183)</f>
        <v/>
      </c>
      <c r="E183" s="118">
        <f>IF(OR(B183="",B182=""),"",B183-B182)</f>
        <v/>
      </c>
      <c r="F183" s="119">
        <f>IF(OR(B183="",B182="",B182=0),"",(B183-B182)/B182)</f>
        <v/>
      </c>
    </row>
    <row r="184" ht="15" customHeight="1" s="80">
      <c r="A184" s="116" t="n"/>
      <c r="B184" s="117" t="n"/>
      <c r="C184" s="117" t="n"/>
      <c r="D184" s="118">
        <f>IF(B184="","",B184-C184)</f>
        <v/>
      </c>
      <c r="E184" s="118">
        <f>IF(OR(B184="",B183=""),"",B184-B183)</f>
        <v/>
      </c>
      <c r="F184" s="119">
        <f>IF(OR(B184="",B183="",B183=0),"",(B184-B183)/B183)</f>
        <v/>
      </c>
    </row>
    <row r="185" ht="15" customHeight="1" s="80">
      <c r="A185" s="116" t="n"/>
      <c r="B185" s="117" t="n"/>
      <c r="C185" s="117" t="n"/>
      <c r="D185" s="118">
        <f>IF(B185="","",B185-C185)</f>
        <v/>
      </c>
      <c r="E185" s="118">
        <f>IF(OR(B185="",B184=""),"",B185-B184)</f>
        <v/>
      </c>
      <c r="F185" s="119">
        <f>IF(OR(B185="",B184="",B184=0),"",(B185-B184)/B184)</f>
        <v/>
      </c>
    </row>
    <row r="186" ht="15" customHeight="1" s="80">
      <c r="A186" s="116" t="n"/>
      <c r="B186" s="117" t="n"/>
      <c r="C186" s="117" t="n"/>
      <c r="D186" s="118">
        <f>IF(B186="","",B186-C186)</f>
        <v/>
      </c>
      <c r="E186" s="118">
        <f>IF(OR(B186="",B185=""),"",B186-B185)</f>
        <v/>
      </c>
      <c r="F186" s="119">
        <f>IF(OR(B186="",B185="",B185=0),"",(B186-B185)/B185)</f>
        <v/>
      </c>
    </row>
    <row r="187" ht="15" customHeight="1" s="80">
      <c r="A187" s="116" t="n"/>
      <c r="B187" s="117" t="n"/>
      <c r="C187" s="117" t="n"/>
      <c r="D187" s="118">
        <f>IF(B187="","",B187-C187)</f>
        <v/>
      </c>
      <c r="E187" s="118">
        <f>IF(OR(B187="",B186=""),"",B187-B186)</f>
        <v/>
      </c>
      <c r="F187" s="119">
        <f>IF(OR(B187="",B186="",B186=0),"",(B187-B186)/B186)</f>
        <v/>
      </c>
    </row>
    <row r="188" ht="15" customHeight="1" s="80">
      <c r="A188" s="116" t="n"/>
      <c r="B188" s="117" t="n"/>
      <c r="C188" s="117" t="n"/>
      <c r="D188" s="118">
        <f>IF(B188="","",B188-C188)</f>
        <v/>
      </c>
      <c r="E188" s="118">
        <f>IF(OR(B188="",B187=""),"",B188-B187)</f>
        <v/>
      </c>
      <c r="F188" s="119">
        <f>IF(OR(B188="",B187="",B187=0),"",(B188-B187)/B187)</f>
        <v/>
      </c>
    </row>
    <row r="189" ht="15" customHeight="1" s="80">
      <c r="A189" s="116" t="n"/>
      <c r="B189" s="117" t="n"/>
      <c r="C189" s="117" t="n"/>
      <c r="D189" s="118">
        <f>IF(B189="","",B189-C189)</f>
        <v/>
      </c>
      <c r="E189" s="118">
        <f>IF(OR(B189="",B188=""),"",B189-B188)</f>
        <v/>
      </c>
      <c r="F189" s="119">
        <f>IF(OR(B189="",B188="",B188=0),"",(B189-B188)/B188)</f>
        <v/>
      </c>
    </row>
    <row r="190" ht="15" customHeight="1" s="80">
      <c r="A190" s="116" t="n"/>
      <c r="B190" s="117" t="n"/>
      <c r="C190" s="117" t="n"/>
      <c r="D190" s="118">
        <f>IF(B190="","",B190-C190)</f>
        <v/>
      </c>
      <c r="E190" s="118">
        <f>IF(OR(B190="",B189=""),"",B190-B189)</f>
        <v/>
      </c>
      <c r="F190" s="119">
        <f>IF(OR(B190="",B189="",B189=0),"",(B190-B189)/B189)</f>
        <v/>
      </c>
    </row>
    <row r="191" ht="15" customHeight="1" s="80">
      <c r="A191" s="116" t="n"/>
      <c r="B191" s="117" t="n"/>
      <c r="C191" s="117" t="n"/>
      <c r="D191" s="118">
        <f>IF(B191="","",B191-C191)</f>
        <v/>
      </c>
      <c r="E191" s="118">
        <f>IF(OR(B191="",B190=""),"",B191-B190)</f>
        <v/>
      </c>
      <c r="F191" s="119">
        <f>IF(OR(B191="",B190="",B190=0),"",(B191-B190)/B190)</f>
        <v/>
      </c>
    </row>
    <row r="192" ht="15" customHeight="1" s="80">
      <c r="A192" s="116" t="n"/>
      <c r="B192" s="117" t="n"/>
      <c r="C192" s="117" t="n"/>
      <c r="D192" s="118">
        <f>IF(B192="","",B192-C192)</f>
        <v/>
      </c>
      <c r="E192" s="118">
        <f>IF(OR(B192="",B191=""),"",B192-B191)</f>
        <v/>
      </c>
      <c r="F192" s="119">
        <f>IF(OR(B192="",B191="",B191=0),"",(B192-B191)/B191)</f>
        <v/>
      </c>
    </row>
    <row r="193" ht="15" customHeight="1" s="80">
      <c r="A193" s="116" t="n"/>
      <c r="B193" s="117" t="n"/>
      <c r="C193" s="117" t="n"/>
      <c r="D193" s="118">
        <f>IF(B193="","",B193-C193)</f>
        <v/>
      </c>
      <c r="E193" s="118">
        <f>IF(OR(B193="",B192=""),"",B193-B192)</f>
        <v/>
      </c>
      <c r="F193" s="119">
        <f>IF(OR(B193="",B192="",B192=0),"",(B193-B192)/B192)</f>
        <v/>
      </c>
    </row>
    <row r="194" ht="15" customHeight="1" s="80">
      <c r="A194" s="116" t="n"/>
      <c r="B194" s="117" t="n"/>
      <c r="C194" s="117" t="n"/>
      <c r="D194" s="118">
        <f>IF(B194="","",B194-C194)</f>
        <v/>
      </c>
      <c r="E194" s="118">
        <f>IF(OR(B194="",B193=""),"",B194-B193)</f>
        <v/>
      </c>
      <c r="F194" s="119">
        <f>IF(OR(B194="",B193="",B193=0),"",(B194-B193)/B193)</f>
        <v/>
      </c>
    </row>
    <row r="195" ht="15" customHeight="1" s="80">
      <c r="A195" s="116" t="n"/>
      <c r="B195" s="117" t="n"/>
      <c r="C195" s="117" t="n"/>
      <c r="D195" s="118">
        <f>IF(B195="","",B195-C195)</f>
        <v/>
      </c>
      <c r="E195" s="118">
        <f>IF(OR(B195="",B194=""),"",B195-B194)</f>
        <v/>
      </c>
      <c r="F195" s="119">
        <f>IF(OR(B195="",B194="",B194=0),"",(B195-B194)/B194)</f>
        <v/>
      </c>
    </row>
    <row r="196" ht="15" customHeight="1" s="80">
      <c r="A196" s="116" t="n"/>
      <c r="B196" s="117" t="n"/>
      <c r="C196" s="117" t="n"/>
      <c r="D196" s="118">
        <f>IF(B196="","",B196-C196)</f>
        <v/>
      </c>
      <c r="E196" s="118">
        <f>IF(OR(B196="",B195=""),"",B196-B195)</f>
        <v/>
      </c>
      <c r="F196" s="119">
        <f>IF(OR(B196="",B195="",B195=0),"",(B196-B195)/B195)</f>
        <v/>
      </c>
    </row>
    <row r="197" ht="15" customHeight="1" s="80">
      <c r="A197" s="116" t="n"/>
      <c r="B197" s="117" t="n"/>
      <c r="C197" s="117" t="n"/>
      <c r="D197" s="118">
        <f>IF(B197="","",B197-C197)</f>
        <v/>
      </c>
      <c r="E197" s="118">
        <f>IF(OR(B197="",B196=""),"",B197-B196)</f>
        <v/>
      </c>
      <c r="F197" s="119">
        <f>IF(OR(B197="",B196="",B196=0),"",(B197-B196)/B196)</f>
        <v/>
      </c>
    </row>
    <row r="198" ht="15" customHeight="1" s="80">
      <c r="A198" s="116" t="n"/>
      <c r="B198" s="117" t="n"/>
      <c r="C198" s="117" t="n"/>
      <c r="D198" s="118">
        <f>IF(B198="","",B198-C198)</f>
        <v/>
      </c>
      <c r="E198" s="118">
        <f>IF(OR(B198="",B197=""),"",B198-B197)</f>
        <v/>
      </c>
      <c r="F198" s="119">
        <f>IF(OR(B198="",B197="",B197=0),"",(B198-B197)/B197)</f>
        <v/>
      </c>
    </row>
    <row r="199" ht="15" customHeight="1" s="80">
      <c r="A199" s="116" t="n"/>
      <c r="B199" s="117" t="n"/>
      <c r="C199" s="117" t="n"/>
      <c r="D199" s="118">
        <f>IF(B199="","",B199-C199)</f>
        <v/>
      </c>
      <c r="E199" s="118">
        <f>IF(OR(B199="",B198=""),"",B199-B198)</f>
        <v/>
      </c>
      <c r="F199" s="119">
        <f>IF(OR(B199="",B198="",B198=0),"",(B199-B198)/B198)</f>
        <v/>
      </c>
    </row>
    <row r="200" ht="15" customHeight="1" s="80">
      <c r="A200" s="116" t="n"/>
      <c r="B200" s="117" t="n"/>
      <c r="C200" s="117" t="n"/>
      <c r="D200" s="118">
        <f>IF(B200="","",B200-C200)</f>
        <v/>
      </c>
      <c r="E200" s="118">
        <f>IF(OR(B200="",B199=""),"",B200-B199)</f>
        <v/>
      </c>
      <c r="F200" s="119">
        <f>IF(OR(B200="",B199="",B199=0),"",(B200-B199)/B199)</f>
        <v/>
      </c>
    </row>
    <row r="201" ht="15" customHeight="1" s="80">
      <c r="A201" s="116" t="n"/>
      <c r="B201" s="117" t="n"/>
      <c r="C201" s="117" t="n"/>
      <c r="D201" s="118">
        <f>IF(B201="","",B201-C201)</f>
        <v/>
      </c>
      <c r="E201" s="118">
        <f>IF(OR(B201="",B200=""),"",B201-B200)</f>
        <v/>
      </c>
      <c r="F201" s="119">
        <f>IF(OR(B201="",B200="",B200=0),"",(B201-B200)/B200)</f>
        <v/>
      </c>
    </row>
    <row r="202" ht="15" customHeight="1" s="80">
      <c r="A202" s="116" t="n"/>
      <c r="B202" s="117" t="n"/>
      <c r="C202" s="117" t="n"/>
      <c r="D202" s="118">
        <f>IF(B202="","",B202-C202)</f>
        <v/>
      </c>
      <c r="E202" s="118">
        <f>IF(OR(B202="",B201=""),"",B202-B201)</f>
        <v/>
      </c>
      <c r="F202" s="119">
        <f>IF(OR(B202="",B201="",B201=0),"",(B202-B201)/B201)</f>
        <v/>
      </c>
    </row>
    <row r="203" ht="15" customHeight="1" s="80">
      <c r="A203" s="116" t="n"/>
      <c r="B203" s="117" t="n"/>
      <c r="C203" s="117" t="n"/>
      <c r="D203" s="118">
        <f>IF(B203="","",B203-C203)</f>
        <v/>
      </c>
      <c r="E203" s="118">
        <f>IF(OR(B203="",B202=""),"",B203-B202)</f>
        <v/>
      </c>
      <c r="F203" s="119">
        <f>IF(OR(B203="",B202="",B202=0),"",(B203-B202)/B202)</f>
        <v/>
      </c>
    </row>
    <row r="204" ht="15" customHeight="1" s="80">
      <c r="A204" s="116" t="n"/>
      <c r="B204" s="117" t="n"/>
      <c r="C204" s="117" t="n"/>
      <c r="D204" s="118">
        <f>IF(B204="","",B204-C204)</f>
        <v/>
      </c>
      <c r="E204" s="118">
        <f>IF(OR(B204="",B203=""),"",B204-B203)</f>
        <v/>
      </c>
      <c r="F204" s="119">
        <f>IF(OR(B204="",B203="",B203=0),"",(B204-B203)/B203)</f>
        <v/>
      </c>
    </row>
    <row r="205" ht="15" customHeight="1" s="80">
      <c r="A205" s="116" t="n"/>
      <c r="B205" s="117" t="n"/>
      <c r="C205" s="117" t="n"/>
      <c r="D205" s="118">
        <f>IF(B205="","",B205-C205)</f>
        <v/>
      </c>
      <c r="E205" s="118">
        <f>IF(OR(B205="",B204=""),"",B205-B204)</f>
        <v/>
      </c>
      <c r="F205" s="119">
        <f>IF(OR(B205="",B204="",B204=0),"",(B205-B204)/B204)</f>
        <v/>
      </c>
    </row>
  </sheetData>
  <mergeCells count="3">
    <mergeCell ref="H1:J1"/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79" min="1" max="1"/>
    <col width="22" customWidth="1" style="79" min="2" max="2"/>
    <col width="12" customWidth="1" style="79" min="3" max="3"/>
  </cols>
  <sheetData>
    <row r="1" ht="25.5" customHeight="1" s="80">
      <c r="A1" s="111" t="inlineStr">
        <is>
          <t>ANALYTICS DEL PORTFOLIO</t>
        </is>
      </c>
    </row>
    <row r="3" ht="15" customHeight="1" s="80">
      <c r="A3" s="126" t="inlineStr">
        <is>
          <t>ASSET ALLOCATION</t>
        </is>
      </c>
    </row>
    <row r="4" ht="15" customHeight="1" s="80">
      <c r="A4" s="112" t="inlineStr">
        <is>
          <t>Clase de Activo</t>
        </is>
      </c>
      <c r="B4" s="112" t="inlineStr">
        <is>
          <t>Valor ($)</t>
        </is>
      </c>
      <c r="C4" s="112" t="inlineStr">
        <is>
          <t>Peso %</t>
        </is>
      </c>
    </row>
    <row r="5" ht="15" customHeight="1" s="80">
      <c r="A5" s="127" t="inlineStr">
        <is>
          <t>Acciones Argentinas</t>
        </is>
      </c>
      <c r="B5" s="117">
        <f>Balanz!F16+Provincia!F15</f>
        <v/>
      </c>
      <c r="C5" s="119">
        <f>IFERROR(B5/$B$14,0)</f>
        <v/>
      </c>
    </row>
    <row r="6" ht="15" customHeight="1" s="80">
      <c r="A6" s="127" t="inlineStr">
        <is>
          <t>CEDEARs</t>
        </is>
      </c>
      <c r="B6" s="117">
        <f>Balanz!F43+Provincia!F20</f>
        <v/>
      </c>
      <c r="C6" s="119">
        <f>IFERROR(B6/$B$14,0)</f>
        <v/>
      </c>
    </row>
    <row r="7" ht="15" customHeight="1" s="80">
      <c r="A7" s="127" t="inlineStr">
        <is>
          <t>Bonos Soberanos</t>
        </is>
      </c>
      <c r="B7" s="117">
        <f>Balanz!F72+Provincia!F33</f>
        <v/>
      </c>
      <c r="C7" s="119">
        <f>IFERROR(B7/$B$14,0)</f>
        <v/>
      </c>
    </row>
    <row r="8" ht="15" customHeight="1" s="80">
      <c r="A8" s="127" t="inlineStr">
        <is>
          <t>ONs / Corporativos</t>
        </is>
      </c>
      <c r="B8" s="117">
        <f>Balanz!F84</f>
        <v/>
      </c>
      <c r="C8" s="119">
        <f>IFERROR(B8/$B$14,0)</f>
        <v/>
      </c>
    </row>
    <row r="9" ht="15" customHeight="1" s="80">
      <c r="A9" s="127" t="inlineStr">
        <is>
          <t>FCIs Pesos</t>
        </is>
      </c>
      <c r="B9" s="117">
        <f>Balanz!F99+Provincia!F37</f>
        <v/>
      </c>
      <c r="C9" s="119">
        <f>IFERROR(B9/$B$14,0)</f>
        <v/>
      </c>
    </row>
    <row r="10" ht="15" customHeight="1" s="80">
      <c r="A10" s="127" t="inlineStr">
        <is>
          <t>FCIs USD (en ARS)</t>
        </is>
      </c>
      <c r="B10" s="117">
        <f>(Balanz!F106+Provincia!F38)*Resumen!C3</f>
        <v/>
      </c>
      <c r="C10" s="119">
        <f>IFERROR(B10/$B$14,0)</f>
        <v/>
      </c>
    </row>
    <row r="11" ht="15" customHeight="1" s="80">
      <c r="A11" s="127" t="inlineStr">
        <is>
          <t>Letras</t>
        </is>
      </c>
      <c r="B11" s="117">
        <f>Balanz!F118</f>
        <v/>
      </c>
      <c r="C11" s="119">
        <f>IFERROR(B11/$B$14,0)</f>
        <v/>
      </c>
    </row>
    <row r="12" ht="15" customHeight="1" s="80">
      <c r="A12" s="127" t="inlineStr">
        <is>
          <t>Otros (MDP, Galicia)</t>
        </is>
      </c>
      <c r="B12" s="117">
        <f>Resumen!B8+Resumen!B9</f>
        <v/>
      </c>
      <c r="C12" s="119">
        <f>IFERROR(B12/$B$14,0)</f>
        <v/>
      </c>
    </row>
    <row r="13" ht="15" customHeight="1" s="80">
      <c r="A13" s="127" t="inlineStr">
        <is>
          <t>USD Líquido</t>
        </is>
      </c>
      <c r="B13" s="117">
        <f>Resumen!B10</f>
        <v/>
      </c>
      <c r="C13" s="119">
        <f>IFERROR(B13/$B$14,0)</f>
        <v/>
      </c>
    </row>
    <row r="14" ht="15" customHeight="1" s="80">
      <c r="A14" s="128" t="inlineStr">
        <is>
          <t>TOTAL</t>
        </is>
      </c>
      <c r="B14" s="129">
        <f>SUM(B5:B13)</f>
        <v/>
      </c>
      <c r="C14" s="130">
        <f>SUM(C5:C13)</f>
        <v/>
      </c>
    </row>
    <row r="17" ht="15" customHeight="1" s="80">
      <c r="A17" s="126" t="inlineStr">
        <is>
          <t>EXPOSICIÓN POR MONEDA</t>
        </is>
      </c>
    </row>
    <row r="18" ht="15" customHeight="1" s="80">
      <c r="A18" s="112" t="inlineStr">
        <is>
          <t>Moneda</t>
        </is>
      </c>
      <c r="B18" s="112" t="inlineStr">
        <is>
          <t>Valor ($)</t>
        </is>
      </c>
      <c r="C18" s="112" t="inlineStr">
        <is>
          <t>Peso %</t>
        </is>
      </c>
    </row>
    <row r="19" ht="15" customHeight="1" s="80">
      <c r="A19" s="127" t="inlineStr">
        <is>
          <t>ARS</t>
        </is>
      </c>
      <c r="B19" s="117">
        <f>Balanz!F16+Provincia!F15+Balanz!F99+Provincia!F37+Balanz!F118+SUM(Balanz!F57:F71)+Provincia!F27+Provincia!F28+Resumen!B8+Resumen!B9</f>
        <v/>
      </c>
      <c r="C19" s="119">
        <f>IFERROR(B19/$B$22,0)</f>
        <v/>
      </c>
    </row>
    <row r="20" ht="15" customHeight="1" s="80">
      <c r="A20" s="127" t="inlineStr">
        <is>
          <t>USD-Linked (BOPREAL/DL)</t>
        </is>
      </c>
      <c r="B20" s="117">
        <f>SUM(Balanz!F52:F56)+Provincia!F29+Provincia!F30+Provincia!F31</f>
        <v/>
      </c>
      <c r="C20" s="119">
        <f>IFERROR(B20/$B$22,0)</f>
        <v/>
      </c>
    </row>
    <row r="21" ht="15" customHeight="1" s="80">
      <c r="A21" s="127" t="inlineStr">
        <is>
          <t>USD Hard</t>
        </is>
      </c>
      <c r="B21" s="117">
        <f>SUM(Balanz!F47:F51)+Provincia!F24+Provincia!F25+Provincia!F26+Provincia!F32+Balanz!F84+Balanz!F43+Provincia!F20+(Balanz!F106+Provincia!F38)*Resumen!C3+Resumen!B10</f>
        <v/>
      </c>
      <c r="C21" s="119">
        <f>IFERROR(B21/$B$22,0)</f>
        <v/>
      </c>
    </row>
    <row r="22" ht="15" customHeight="1" s="80">
      <c r="A22" s="128" t="inlineStr">
        <is>
          <t>TOTAL</t>
        </is>
      </c>
      <c r="B22" s="129">
        <f>SUM(B19:B21)</f>
        <v/>
      </c>
      <c r="C22" s="130">
        <f>SUM(C19:C21)</f>
        <v/>
      </c>
    </row>
    <row r="25" ht="15" customHeight="1" s="80">
      <c r="A25" s="126" t="inlineStr">
        <is>
          <t>DURACIÓN PORTFOLIO RENTA FIJA</t>
        </is>
      </c>
    </row>
    <row r="26" ht="15" customHeight="1" s="80">
      <c r="A26" s="112" t="inlineStr">
        <is>
          <t>Bucket</t>
        </is>
      </c>
      <c r="B26" s="112" t="inlineStr">
        <is>
          <t>Valor ($)</t>
        </is>
      </c>
      <c r="C26" s="112" t="inlineStr">
        <is>
          <t>Días Promedio Vto</t>
        </is>
      </c>
      <c r="D26" s="112" t="inlineStr">
        <is>
          <t>Duración Aprox (años)</t>
        </is>
      </c>
      <c r="E26" s="112" t="inlineStr">
        <is>
          <t>Peso %</t>
        </is>
      </c>
    </row>
    <row r="27" ht="15" customHeight="1" s="80">
      <c r="A27" s="127" t="inlineStr">
        <is>
          <t>Bonos Soberanos Balanz</t>
        </is>
      </c>
      <c r="B27" s="117">
        <f>Balanz!F72</f>
        <v/>
      </c>
      <c r="C27" s="131">
        <f>IFERROR(SUMPRODUCT(Balanz!F54:F71,Balanz!N54:N71)/Balanz!F72,0)</f>
        <v/>
      </c>
      <c r="D27" s="132">
        <f>C27/365</f>
        <v/>
      </c>
      <c r="E27" s="119">
        <f>IFERROR(B27/SUM($B$27:$B$30),0)</f>
        <v/>
      </c>
    </row>
    <row r="28" ht="15" customHeight="1" s="80">
      <c r="A28" s="127" t="inlineStr">
        <is>
          <t>ONs Balanz</t>
        </is>
      </c>
      <c r="B28" s="117">
        <f>Balanz!F84</f>
        <v/>
      </c>
      <c r="C28" s="131">
        <f>IFERROR(SUMPRODUCT(Balanz!F76:F83,Balanz!N76:N83)/Balanz!F84,0)</f>
        <v/>
      </c>
      <c r="D28" s="132">
        <f>C28/365</f>
        <v/>
      </c>
      <c r="E28" s="119">
        <f>IFERROR(B28/SUM($B$27:$B$30),0)</f>
        <v/>
      </c>
    </row>
    <row r="29" ht="15" customHeight="1" s="80">
      <c r="A29" s="127" t="inlineStr">
        <is>
          <t>Letras Balanz</t>
        </is>
      </c>
      <c r="B29" s="117">
        <f>Balanz!F118</f>
        <v/>
      </c>
      <c r="C29" s="131">
        <f>IFERROR(SUMPRODUCT(Balanz!F110:F117,Balanz!N110:N117)/Balanz!F118,0)</f>
        <v/>
      </c>
      <c r="D29" s="132">
        <f>C29/365</f>
        <v/>
      </c>
      <c r="E29" s="119">
        <f>IFERROR(B29/SUM($B$27:$B$30),0)</f>
        <v/>
      </c>
    </row>
    <row r="30" ht="15" customHeight="1" s="80">
      <c r="A30" s="127" t="inlineStr">
        <is>
          <t>Bonos Provincia</t>
        </is>
      </c>
      <c r="B30" s="117">
        <f>Provincia!F33</f>
        <v/>
      </c>
      <c r="C30" s="131">
        <f>IFERROR(SUMPRODUCT(Provincia!F23:F32,Provincia!N23:N32)/Provincia!F33,0)</f>
        <v/>
      </c>
      <c r="D30" s="132">
        <f>C30/365</f>
        <v/>
      </c>
      <c r="E30" s="119">
        <f>IFERROR(B30/SUM($B$27:$B$30),0)</f>
        <v/>
      </c>
    </row>
    <row r="31" ht="15" customHeight="1" s="80">
      <c r="A31" s="128" t="inlineStr">
        <is>
          <t>PROMEDIO PONDERADO</t>
        </is>
      </c>
      <c r="B31" s="129">
        <f>SUM(B27:B30)</f>
        <v/>
      </c>
      <c r="C31" s="133">
        <f>IFERROR(SUMPRODUCT(B27:B30,C27:C30)/B31,0)</f>
        <v/>
      </c>
      <c r="D31" s="134">
        <f>C31/365</f>
        <v/>
      </c>
      <c r="E31" s="130">
        <f>SUM(E27:E30)</f>
        <v/>
      </c>
    </row>
    <row r="34" ht="15" customHeight="1" s="80">
      <c r="A34" s="126" t="inlineStr">
        <is>
          <t>CALENDARIO DE VENCIMIENTOS (próximos 24 meses)</t>
        </is>
      </c>
    </row>
    <row r="35" ht="15" customHeight="1" s="80">
      <c r="A35" s="112" t="inlineStr">
        <is>
          <t>Mes Vto</t>
        </is>
      </c>
      <c r="B35" s="112" t="inlineStr">
        <is>
          <t>Valor a Vencer ($)</t>
        </is>
      </c>
      <c r="C35" s="112" t="inlineStr">
        <is>
          <t>Cantidad Instrumentos</t>
        </is>
      </c>
      <c r="D35" s="112" t="inlineStr">
        <is>
          <t>Peso % RF</t>
        </is>
      </c>
    </row>
    <row r="36" ht="15" customHeight="1" s="80">
      <c r="A36" s="127" t="inlineStr">
        <is>
          <t>0-3 meses (0-90d)</t>
        </is>
      </c>
      <c r="B36" s="117">
        <f>SUMIFS(Balanz!F54:F71,Balanz!N54:N71,"&gt;=0",Balanz!N54:N71,"&lt;=90")+SUMIFS(Balanz!F76:F83,Balanz!N76:N83,"&gt;=0",Balanz!N76:N83,"&lt;=90")+SUMIFS(Balanz!F110:F117,Balanz!N110:N117,"&gt;=0",Balanz!N110:N117,"&lt;=90")+SUMIFS(Provincia!F23:F32,Provincia!N23:N32,"&gt;=0",Provincia!N23:N32,"&lt;=90")</f>
        <v/>
      </c>
      <c r="C36" s="131">
        <f>COUNTIFS(Balanz!N54:N71,"&gt;=0",Balanz!N54:N71,"&lt;=90")+COUNTIFS(Balanz!N76:N83,"&gt;=0",Balanz!N76:N83,"&lt;=90")+COUNTIFS(Balanz!N110:N117,"&gt;=0",Balanz!N110:N117,"&lt;=90")+COUNTIFS(Provincia!N23:N32,"&gt;=0",Provincia!N23:N32,"&lt;=90")</f>
        <v/>
      </c>
      <c r="D36" s="119">
        <f>IFERROR(B36/$B$43,0)</f>
        <v/>
      </c>
    </row>
    <row r="37" ht="15" customHeight="1" s="80">
      <c r="A37" s="127" t="inlineStr">
        <is>
          <t>3-6 meses (91-180d)</t>
        </is>
      </c>
      <c r="B37" s="117">
        <f>SUMIFS(Balanz!F54:F71,Balanz!N54:N71,"&gt;=91",Balanz!N54:N71,"&lt;=180")+SUMIFS(Balanz!F76:F83,Balanz!N76:N83,"&gt;=91",Balanz!N76:N83,"&lt;=180")+SUMIFS(Balanz!F110:F117,Balanz!N110:N117,"&gt;=91",Balanz!N110:N117,"&lt;=180")+SUMIFS(Provincia!F23:F32,Provincia!N23:N32,"&gt;=91",Provincia!N23:N32,"&lt;=180")</f>
        <v/>
      </c>
      <c r="C37" s="131">
        <f>COUNTIFS(Balanz!N54:N71,"&gt;=91",Balanz!N54:N71,"&lt;=180")+COUNTIFS(Balanz!N76:N83,"&gt;=91",Balanz!N76:N83,"&lt;=180")+COUNTIFS(Balanz!N110:N117,"&gt;=91",Balanz!N110:N117,"&lt;=180")+COUNTIFS(Provincia!N23:N32,"&gt;=91",Provincia!N23:N32,"&lt;=180")</f>
        <v/>
      </c>
      <c r="D37" s="119">
        <f>IFERROR(B37/$B$43,0)</f>
        <v/>
      </c>
    </row>
    <row r="38" ht="15" customHeight="1" s="80">
      <c r="A38" s="127" t="inlineStr">
        <is>
          <t>6-12 meses (181-365d)</t>
        </is>
      </c>
      <c r="B38" s="117">
        <f>SUMIFS(Balanz!F54:F71,Balanz!N54:N71,"&gt;=181",Balanz!N54:N71,"&lt;=365")+SUMIFS(Balanz!F76:F83,Balanz!N76:N83,"&gt;=181",Balanz!N76:N83,"&lt;=365")+SUMIFS(Balanz!F110:F117,Balanz!N110:N117,"&gt;=181",Balanz!N110:N117,"&lt;=365")+SUMIFS(Provincia!F23:F32,Provincia!N23:N32,"&gt;=181",Provincia!N23:N32,"&lt;=365")</f>
        <v/>
      </c>
      <c r="C38" s="131">
        <f>COUNTIFS(Balanz!N54:N71,"&gt;=181",Balanz!N54:N71,"&lt;=365")+COUNTIFS(Balanz!N76:N83,"&gt;=181",Balanz!N76:N83,"&lt;=365")+COUNTIFS(Balanz!N110:N117,"&gt;=181",Balanz!N110:N117,"&lt;=365")+COUNTIFS(Provincia!N23:N32,"&gt;=181",Provincia!N23:N32,"&lt;=365")</f>
        <v/>
      </c>
      <c r="D38" s="119">
        <f>IFERROR(B38/$B$43,0)</f>
        <v/>
      </c>
    </row>
    <row r="39" ht="15" customHeight="1" s="80">
      <c r="A39" s="127" t="inlineStr">
        <is>
          <t>12-18 meses (366-545d)</t>
        </is>
      </c>
      <c r="B39" s="117">
        <f>SUMIFS(Balanz!F54:F71,Balanz!N54:N71,"&gt;=366",Balanz!N54:N71,"&lt;=545")+SUMIFS(Balanz!F76:F83,Balanz!N76:N83,"&gt;=366",Balanz!N76:N83,"&lt;=545")+SUMIFS(Balanz!F110:F117,Balanz!N110:N117,"&gt;=366",Balanz!N110:N117,"&lt;=545")+SUMIFS(Provincia!F23:F32,Provincia!N23:N32,"&gt;=366",Provincia!N23:N32,"&lt;=545")</f>
        <v/>
      </c>
      <c r="C39" s="131">
        <f>COUNTIFS(Balanz!N54:N71,"&gt;=366",Balanz!N54:N71,"&lt;=545")+COUNTIFS(Balanz!N76:N83,"&gt;=366",Balanz!N76:N83,"&lt;=545")+COUNTIFS(Balanz!N110:N117,"&gt;=366",Balanz!N110:N117,"&lt;=545")+COUNTIFS(Provincia!N23:N32,"&gt;=366",Provincia!N23:N32,"&lt;=545")</f>
        <v/>
      </c>
      <c r="D39" s="119">
        <f>IFERROR(B39/$B$43,0)</f>
        <v/>
      </c>
    </row>
    <row r="40" ht="15" customHeight="1" s="80">
      <c r="A40" s="127" t="inlineStr">
        <is>
          <t>18-24 meses (546-730d)</t>
        </is>
      </c>
      <c r="B40" s="117">
        <f>SUMIFS(Balanz!F54:F71,Balanz!N54:N71,"&gt;=546",Balanz!N54:N71,"&lt;=730")+SUMIFS(Balanz!F76:F83,Balanz!N76:N83,"&gt;=546",Balanz!N76:N83,"&lt;=730")+SUMIFS(Balanz!F110:F117,Balanz!N110:N117,"&gt;=546",Balanz!N110:N117,"&lt;=730")+SUMIFS(Provincia!F23:F32,Provincia!N23:N32,"&gt;=546",Provincia!N23:N32,"&lt;=730")</f>
        <v/>
      </c>
      <c r="C40" s="131">
        <f>COUNTIFS(Balanz!N54:N71,"&gt;=546",Balanz!N54:N71,"&lt;=730")+COUNTIFS(Balanz!N76:N83,"&gt;=546",Balanz!N76:N83,"&lt;=730")+COUNTIFS(Balanz!N110:N117,"&gt;=546",Balanz!N110:N117,"&lt;=730")+COUNTIFS(Provincia!N23:N32,"&gt;=546",Provincia!N23:N32,"&lt;=730")</f>
        <v/>
      </c>
      <c r="D40" s="119">
        <f>IFERROR(B40/$B$43,0)</f>
        <v/>
      </c>
    </row>
    <row r="41" ht="15" customHeight="1" s="80">
      <c r="A41" s="127" t="inlineStr">
        <is>
          <t>24-36 meses (731-1095d)</t>
        </is>
      </c>
      <c r="B41" s="117">
        <f>SUMIFS(Balanz!F54:F71,Balanz!N54:N71,"&gt;=731",Balanz!N54:N71,"&lt;=1095")+SUMIFS(Balanz!F76:F83,Balanz!N76:N83,"&gt;=731",Balanz!N76:N83,"&lt;=1095")+SUMIFS(Balanz!F110:F117,Balanz!N110:N117,"&gt;=731",Balanz!N110:N117,"&lt;=1095")+SUMIFS(Provincia!F23:F32,Provincia!N23:N32,"&gt;=731",Provincia!N23:N32,"&lt;=1095")</f>
        <v/>
      </c>
      <c r="C41" s="131">
        <f>COUNTIFS(Balanz!N54:N71,"&gt;=731",Balanz!N54:N71,"&lt;=1095")+COUNTIFS(Balanz!N76:N83,"&gt;=731",Balanz!N76:N83,"&lt;=1095")+COUNTIFS(Balanz!N110:N117,"&gt;=731",Balanz!N110:N117,"&lt;=1095")+COUNTIFS(Provincia!N23:N32,"&gt;=731",Provincia!N23:N32,"&lt;=1095")</f>
        <v/>
      </c>
      <c r="D41" s="119">
        <f>IFERROR(B41/$B$43,0)</f>
        <v/>
      </c>
    </row>
    <row r="42" ht="15" customHeight="1" s="80">
      <c r="A42" s="127" t="inlineStr">
        <is>
          <t>Más de 36 meses (&gt;1095d)</t>
        </is>
      </c>
      <c r="B42" s="117">
        <f>SUMIFS(Balanz!F54:F71,Balanz!N54:N71,"&gt;=1096",Balanz!N54:N71,"&lt;=99999")+SUMIFS(Balanz!F76:F83,Balanz!N76:N83,"&gt;=1096",Balanz!N76:N83,"&lt;=99999")+SUMIFS(Balanz!F110:F117,Balanz!N110:N117,"&gt;=1096",Balanz!N110:N117,"&lt;=99999")+SUMIFS(Provincia!F23:F32,Provincia!N23:N32,"&gt;=1096",Provincia!N23:N32,"&lt;=99999")</f>
        <v/>
      </c>
      <c r="C42" s="131">
        <f>COUNTIFS(Balanz!N54:N71,"&gt;=1096",Balanz!N54:N71,"&lt;=99999")+COUNTIFS(Balanz!N76:N83,"&gt;=1096",Balanz!N76:N83,"&lt;=99999")+COUNTIFS(Balanz!N110:N117,"&gt;=1096",Balanz!N110:N117,"&lt;=99999")+COUNTIFS(Provincia!N23:N32,"&gt;=1096",Provincia!N23:N32,"&lt;=99999")</f>
        <v/>
      </c>
      <c r="D42" s="119">
        <f>IFERROR(B42/$B$43,0)</f>
        <v/>
      </c>
    </row>
    <row r="43" ht="15" customHeight="1" s="80">
      <c r="A43" s="128" t="inlineStr">
        <is>
          <t>TOTAL RF</t>
        </is>
      </c>
      <c r="B43" s="129">
        <f>SUM(B36:B42)</f>
        <v/>
      </c>
      <c r="C43" s="133">
        <f>SUM(C36:C42)</f>
        <v/>
      </c>
      <c r="D43" s="130">
        <f>SUM(D36:D42)</f>
        <v/>
      </c>
    </row>
  </sheetData>
  <mergeCells count="5">
    <mergeCell ref="A34:D34"/>
    <mergeCell ref="A25:E25"/>
    <mergeCell ref="A17:C17"/>
    <mergeCell ref="A3:C3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FF818CF8"/>
    <outlinePr summaryBelow="1" summaryRight="1"/>
    <pageSetUpPr fitToPage="0"/>
  </sheetPr>
  <dimension ref="A1:H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79" min="1" max="1"/>
    <col width="22" customWidth="1" style="79" min="2" max="4"/>
    <col width="14" customWidth="1" style="79" min="5" max="5"/>
    <col width="22" customWidth="1" style="79" min="7" max="7"/>
    <col width="18" customWidth="1" style="79" min="8" max="8"/>
  </cols>
  <sheetData>
    <row r="1" ht="21.75" customHeight="1" s="80">
      <c r="A1" s="101" t="inlineStr">
        <is>
          <t>MONITOR DE INVERSIONES</t>
        </is>
      </c>
    </row>
    <row r="2" ht="15" customHeight="1" s="80">
      <c r="A2" s="82" t="inlineStr">
        <is>
          <t>Casimiro Félix Toyos e Hijos S.A.</t>
        </is>
      </c>
    </row>
    <row r="3" ht="21.75" customHeight="1" s="80">
      <c r="A3" s="135" t="inlineStr">
        <is>
          <t>TC MEP: $ 1,419.25 | Cable: $ 1.471,87</t>
        </is>
      </c>
      <c r="B3" s="82" t="inlineStr">
        <is>
          <t>TC MEP →</t>
        </is>
      </c>
      <c r="C3" s="79" t="n">
        <v>1419.25</v>
      </c>
      <c r="G3" s="111" t="inlineStr">
        <is>
          <t>RENDIMIENTO PORTFOLIO</t>
        </is>
      </c>
    </row>
    <row r="5" ht="15" customHeight="1" s="80">
      <c r="A5" s="136" t="inlineStr">
        <is>
          <t>ALyC / Banco</t>
        </is>
      </c>
      <c r="B5" s="136" t="inlineStr">
        <is>
          <t>Valor Actual</t>
        </is>
      </c>
      <c r="C5" s="136" t="inlineStr">
        <is>
          <t>Costo</t>
        </is>
      </c>
      <c r="D5" s="136" t="inlineStr">
        <is>
          <t>Rendimiento $</t>
        </is>
      </c>
      <c r="E5" s="136" t="inlineStr">
        <is>
          <t>Rdo %</t>
        </is>
      </c>
      <c r="G5" s="137" t="inlineStr">
        <is>
          <t>Rdo Total Histórico %</t>
        </is>
      </c>
      <c r="H5" s="123">
        <f>IF(C11&gt;0,(B11-C11)/C11,0)</f>
        <v/>
      </c>
    </row>
    <row r="6" ht="15" customHeight="1" s="80">
      <c r="A6" s="90" t="inlineStr">
        <is>
          <t>Balanz Capital</t>
        </is>
      </c>
      <c r="B6" s="138">
        <f>Balanz!F16+Balanz!F43+Balanz!F72+Balanz!F84+Balanz!F99+(Balanz!F106*C3)+Balanz!F118</f>
        <v/>
      </c>
      <c r="C6" s="138">
        <f>Balanz!G16+Balanz!G43+Balanz!G72+Balanz!G84+Balanz!G99+(Balanz!G106*C3)+Balanz!G118</f>
        <v/>
      </c>
      <c r="D6" s="139">
        <f>B6-C6</f>
        <v/>
      </c>
      <c r="E6" s="140">
        <f>IF(C6&gt;0,(B6-C6)/C6,0)</f>
        <v/>
      </c>
      <c r="G6" s="137" t="inlineStr">
        <is>
          <t>Rdo Total Histórico $</t>
        </is>
      </c>
      <c r="H6" s="122">
        <f>B11-C11</f>
        <v/>
      </c>
    </row>
    <row r="7" ht="15" customHeight="1" s="80">
      <c r="A7" s="90" t="inlineStr">
        <is>
          <t>Banco Provincia</t>
        </is>
      </c>
      <c r="B7" s="138">
        <f>Provincia!F15+Provincia!F20+Provincia!F33+Provincia!F37+(Provincia!F38*C3)</f>
        <v/>
      </c>
      <c r="C7" s="138">
        <f>Provincia!G15+Provincia!G20+Provincia!G33+Provincia!G37+(Provincia!G38*C3)</f>
        <v/>
      </c>
      <c r="D7" s="139">
        <f>B7-C7</f>
        <v/>
      </c>
      <c r="E7" s="140">
        <f>IF(C7&gt;0,(B7-C7)/C7,0)</f>
        <v/>
      </c>
      <c r="G7" s="137" t="inlineStr">
        <is>
          <t>Var Día %</t>
        </is>
      </c>
      <c r="H7" s="123">
        <f>IFERROR(Historico!I11,0)</f>
        <v/>
      </c>
    </row>
    <row r="8" ht="15" customHeight="1" s="80">
      <c r="A8" s="90" t="inlineStr">
        <is>
          <t>MDP Bursátil</t>
        </is>
      </c>
      <c r="B8" s="86" t="n">
        <v>30516090</v>
      </c>
      <c r="C8" s="86" t="n">
        <v>22377937</v>
      </c>
      <c r="D8" s="139">
        <f>B8-C8</f>
        <v/>
      </c>
      <c r="E8" s="141">
        <f>IF(C8&gt;0,(B8-C8)/C8,0)</f>
        <v/>
      </c>
      <c r="G8" s="137" t="inlineStr">
        <is>
          <t>Var Día $</t>
        </is>
      </c>
      <c r="H8" s="122">
        <f>IFERROR(Historico!I10,0)</f>
        <v/>
      </c>
    </row>
    <row r="9" ht="15" customHeight="1" s="80">
      <c r="A9" s="90" t="inlineStr">
        <is>
          <t>Banco Galicia</t>
        </is>
      </c>
      <c r="B9" s="86" t="n">
        <v>66865446</v>
      </c>
      <c r="C9" s="86" t="n">
        <v>66865446</v>
      </c>
      <c r="D9" s="139">
        <f>B9-C9</f>
        <v/>
      </c>
      <c r="E9" s="141">
        <f>IF(C9&gt;0,(B9-C9)/C9,0)</f>
        <v/>
      </c>
      <c r="G9" s="137" t="inlineStr">
        <is>
          <t>Var Mensual %</t>
        </is>
      </c>
      <c r="H9" s="123">
        <f>IFERROR(Historico!I14,0)</f>
        <v/>
      </c>
    </row>
    <row r="10" ht="15" customHeight="1" s="80">
      <c r="A10" s="90" t="inlineStr">
        <is>
          <t>USD — Dólares, M/E y CV</t>
        </is>
      </c>
      <c r="B10" s="86" t="n">
        <v>116571153</v>
      </c>
      <c r="C10" s="86" t="n">
        <v>116571153</v>
      </c>
      <c r="D10" s="139">
        <f>B10-C10</f>
        <v/>
      </c>
      <c r="E10" s="141">
        <f>IF(C10&gt;0,(B10-C10)/C10,0)</f>
        <v/>
      </c>
      <c r="G10" s="137" t="inlineStr">
        <is>
          <t>Var YTD %</t>
        </is>
      </c>
      <c r="H10" s="123">
        <f>IFERROR(Historico!I15,0)</f>
        <v/>
      </c>
    </row>
    <row r="11" ht="15" customHeight="1" s="80">
      <c r="A11" s="142" t="inlineStr">
        <is>
          <t>TENENCIA TOTAL</t>
        </is>
      </c>
      <c r="B11" s="143">
        <f>SUM(B6:B10)</f>
        <v/>
      </c>
      <c r="C11" s="144">
        <f>SUM(C6:C10)</f>
        <v/>
      </c>
      <c r="D11" s="145">
        <f>SUM(D6:D10)</f>
        <v/>
      </c>
      <c r="E11" s="146">
        <f>IF(C11&gt;0,(B11-C11)/C11,0)</f>
        <v/>
      </c>
    </row>
    <row r="12" ht="17.25" customHeight="1" s="80"/>
  </sheetData>
  <mergeCells count="1">
    <mergeCell ref="G3:H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6366F1"/>
    <outlinePr summaryBelow="1" summaryRight="1"/>
    <pageSetUpPr fitToPage="0"/>
  </sheetPr>
  <dimension ref="A1:N1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79" min="1" max="1"/>
    <col width="22" customWidth="1" style="79" min="2" max="2"/>
    <col width="14" customWidth="1" style="79" min="3" max="4"/>
    <col width="16" customWidth="1" style="79" min="5" max="5"/>
    <col width="18" customWidth="1" style="79" min="6" max="8"/>
    <col width="12" customWidth="1" style="79" min="9" max="9"/>
    <col width="10" customWidth="1" style="79" min="10" max="10"/>
    <col width="14" customWidth="1" style="79" min="11" max="11"/>
    <col width="10" customWidth="1" style="79" min="12" max="12"/>
    <col width="12" customWidth="1" style="79" min="13" max="13"/>
    <col width="14" customWidth="1" style="79" min="14" max="14"/>
  </cols>
  <sheetData>
    <row r="1" ht="17.25" customHeight="1" s="80">
      <c r="A1" s="100" t="inlineStr">
        <is>
          <t>BALANZ CAPITAL</t>
        </is>
      </c>
    </row>
    <row r="2" ht="15" customHeight="1" s="80">
      <c r="A2" s="82" t="inlineStr">
        <is>
          <t>TC MEP: $ 1,419.25</t>
        </is>
      </c>
    </row>
    <row r="4" ht="15" customHeight="1" s="80">
      <c r="A4" s="83" t="inlineStr">
        <is>
          <t>ACCIONES</t>
        </is>
      </c>
    </row>
    <row r="5" ht="15" customHeight="1" s="80">
      <c r="A5" s="136" t="inlineStr">
        <is>
          <t>Ticker</t>
        </is>
      </c>
      <c r="B5" s="136" t="inlineStr">
        <is>
          <t>Descripción</t>
        </is>
      </c>
      <c r="C5" s="136" t="inlineStr">
        <is>
          <t>Cantidad</t>
        </is>
      </c>
      <c r="D5" s="136" t="inlineStr">
        <is>
          <t>PPC Compra</t>
        </is>
      </c>
      <c r="E5" s="136" t="inlineStr">
        <is>
          <t>Precio Vivo</t>
        </is>
      </c>
      <c r="F5" s="136" t="inlineStr">
        <is>
          <t>Valor Actual</t>
        </is>
      </c>
      <c r="G5" s="136" t="inlineStr">
        <is>
          <t>Costo Total</t>
        </is>
      </c>
      <c r="H5" s="136" t="inlineStr">
        <is>
          <t>P&amp;L $</t>
        </is>
      </c>
      <c r="I5" s="136" t="inlineStr">
        <is>
          <t>P&amp;L %</t>
        </is>
      </c>
      <c r="J5" s="136" t="inlineStr">
        <is>
          <t>Var Día %</t>
        </is>
      </c>
      <c r="K5" s="136" t="inlineStr">
        <is>
          <t>P&amp;L USD</t>
        </is>
      </c>
      <c r="L5" s="136" t="inlineStr">
        <is>
          <t>Peso %</t>
        </is>
      </c>
      <c r="M5" s="136" t="inlineStr">
        <is>
          <t>Vencimiento</t>
        </is>
      </c>
      <c r="N5" s="136" t="inlineStr">
        <is>
          <t>Días</t>
        </is>
      </c>
    </row>
    <row r="6" ht="15" customHeight="1" s="80">
      <c r="A6" s="90" t="inlineStr">
        <is>
          <t>AUSO</t>
        </is>
      </c>
      <c r="B6" s="85" t="inlineStr">
        <is>
          <t>Autopista del Sol</t>
        </is>
      </c>
      <c r="C6" s="86" t="n">
        <v>2773</v>
      </c>
      <c r="D6" s="147" t="n">
        <v>2920</v>
      </c>
      <c r="E6" s="148">
        <f>googlefinance("BCBA:AUSO","price")</f>
        <v/>
      </c>
      <c r="F6" s="86">
        <f>C6*E6</f>
        <v/>
      </c>
      <c r="G6" s="86">
        <f>C6*D6</f>
        <v/>
      </c>
      <c r="H6" s="149">
        <f>F6-G6</f>
        <v/>
      </c>
      <c r="I6" s="150">
        <f>IF(G6&gt;0,(F6-G6)/G6,0)</f>
        <v/>
      </c>
      <c r="J6" s="151" t="n"/>
      <c r="K6" s="86">
        <f>IF(H6&lt;&gt;0,H6/Resumen!$C$3,0)</f>
        <v/>
      </c>
      <c r="L6" s="152">
        <f>IF(F6&lt;&gt;0,F6/Resumen!$B$11,0)</f>
        <v/>
      </c>
      <c r="M6" s="96" t="n"/>
      <c r="N6" s="96" t="n"/>
    </row>
    <row r="7" ht="15" customHeight="1" s="80">
      <c r="A7" s="90" t="inlineStr">
        <is>
          <t>BPAT</t>
        </is>
      </c>
      <c r="B7" s="85" t="inlineStr">
        <is>
          <t>Banco Patagonia</t>
        </is>
      </c>
      <c r="C7" s="86" t="n">
        <v>5926</v>
      </c>
      <c r="D7" s="147" t="n">
        <v>2354.41</v>
      </c>
      <c r="E7" s="148">
        <f>googlefinance("BCBA:BPAT","price")</f>
        <v/>
      </c>
      <c r="F7" s="86">
        <f>C7*E7</f>
        <v/>
      </c>
      <c r="G7" s="86">
        <f>C7*D7</f>
        <v/>
      </c>
      <c r="H7" s="149">
        <f>F7-G7</f>
        <v/>
      </c>
      <c r="I7" s="150">
        <f>IF(G7&gt;0,(F7-G7)/G7,0)</f>
        <v/>
      </c>
      <c r="J7" s="151" t="n"/>
      <c r="K7" s="86">
        <f>IF(H7&lt;&gt;0,H7/Resumen!$C$3,0)</f>
        <v/>
      </c>
      <c r="L7" s="152">
        <f>IF(F7&lt;&gt;0,F7/Resumen!$B$11,0)</f>
        <v/>
      </c>
      <c r="M7" s="96" t="n"/>
      <c r="N7" s="96" t="n"/>
    </row>
    <row r="8" ht="15" customHeight="1" s="80">
      <c r="A8" s="90" t="inlineStr">
        <is>
          <t>CEPU</t>
        </is>
      </c>
      <c r="B8" s="85" t="inlineStr">
        <is>
          <t>Central Puerto</t>
        </is>
      </c>
      <c r="C8" s="86" t="n">
        <v>5905</v>
      </c>
      <c r="D8" s="147" t="n">
        <v>2540</v>
      </c>
      <c r="E8" s="148">
        <f>googlefinance("BCBA:CEPU","price")</f>
        <v/>
      </c>
      <c r="F8" s="86">
        <f>C8*E8</f>
        <v/>
      </c>
      <c r="G8" s="86">
        <f>C8*D8</f>
        <v/>
      </c>
      <c r="H8" s="149">
        <f>F8-G8</f>
        <v/>
      </c>
      <c r="I8" s="150">
        <f>IF(G8&gt;0,(F8-G8)/G8,0)</f>
        <v/>
      </c>
      <c r="J8" s="151" t="n"/>
      <c r="K8" s="86">
        <f>IF(H8&lt;&gt;0,H8/Resumen!$C$3,0)</f>
        <v/>
      </c>
      <c r="L8" s="152">
        <f>IF(F8&lt;&gt;0,F8/Resumen!$B$11,0)</f>
        <v/>
      </c>
      <c r="M8" s="96" t="n"/>
      <c r="N8" s="96" t="n"/>
    </row>
    <row r="9" ht="15" customHeight="1" s="80">
      <c r="A9" s="90" t="inlineStr">
        <is>
          <t>METR</t>
        </is>
      </c>
      <c r="B9" s="85" t="inlineStr">
        <is>
          <t>Metrogas</t>
        </is>
      </c>
      <c r="C9" s="86" t="n">
        <v>14877</v>
      </c>
      <c r="D9" s="147" t="n">
        <v>1765.57</v>
      </c>
      <c r="E9" s="148">
        <f>googlefinance("BCBA:METR","price")</f>
        <v/>
      </c>
      <c r="F9" s="86">
        <f>C9*E9</f>
        <v/>
      </c>
      <c r="G9" s="86">
        <f>C9*D9</f>
        <v/>
      </c>
      <c r="H9" s="149">
        <f>F9-G9</f>
        <v/>
      </c>
      <c r="I9" s="150">
        <f>IF(G9&gt;0,(F9-G9)/G9,0)</f>
        <v/>
      </c>
      <c r="J9" s="151" t="n"/>
      <c r="K9" s="86">
        <f>IF(H9&lt;&gt;0,H9/Resumen!$C$3,0)</f>
        <v/>
      </c>
      <c r="L9" s="152">
        <f>IF(F9&lt;&gt;0,F9/Resumen!$B$11,0)</f>
        <v/>
      </c>
      <c r="M9" s="96" t="n"/>
      <c r="N9" s="96" t="n"/>
    </row>
    <row r="10" ht="15" customHeight="1" s="80">
      <c r="A10" s="90" t="inlineStr">
        <is>
          <t>MIRG</t>
        </is>
      </c>
      <c r="B10" s="85" t="inlineStr">
        <is>
          <t>Mirgor</t>
        </is>
      </c>
      <c r="C10" s="86" t="n">
        <v>856.3</v>
      </c>
      <c r="D10" s="147" t="n">
        <v>24624.51</v>
      </c>
      <c r="E10" s="148">
        <f>googlefinance("BCBA:MIRG","price")</f>
        <v/>
      </c>
      <c r="F10" s="86">
        <f>C10*E10</f>
        <v/>
      </c>
      <c r="G10" s="86">
        <f>C10*D10</f>
        <v/>
      </c>
      <c r="H10" s="149">
        <f>F10-G10</f>
        <v/>
      </c>
      <c r="I10" s="150">
        <f>IF(G10&gt;0,(F10-G10)/G10,0)</f>
        <v/>
      </c>
      <c r="J10" s="151" t="n"/>
      <c r="K10" s="86">
        <f>IF(H10&lt;&gt;0,H10/Resumen!$C$3,0)</f>
        <v/>
      </c>
      <c r="L10" s="152">
        <f>IF(F10&lt;&gt;0,F10/Resumen!$B$11,0)</f>
        <v/>
      </c>
      <c r="M10" s="96" t="n"/>
      <c r="N10" s="96" t="n"/>
    </row>
    <row r="11" ht="15" customHeight="1" s="80">
      <c r="A11" s="90" t="inlineStr">
        <is>
          <t>PAMP</t>
        </is>
      </c>
      <c r="B11" s="85" t="inlineStr">
        <is>
          <t>Pampa Energía</t>
        </is>
      </c>
      <c r="C11" s="86" t="n">
        <v>16651</v>
      </c>
      <c r="D11" s="147" t="n">
        <v>3153.43</v>
      </c>
      <c r="E11" s="148">
        <f>googlefinance("BCBA:PAMP","price")</f>
        <v/>
      </c>
      <c r="F11" s="86">
        <f>C11*E11</f>
        <v/>
      </c>
      <c r="G11" s="86">
        <f>C11*D11</f>
        <v/>
      </c>
      <c r="H11" s="149">
        <f>F11-G11</f>
        <v/>
      </c>
      <c r="I11" s="150">
        <f>IF(G11&gt;0,(F11-G11)/G11,0)</f>
        <v/>
      </c>
      <c r="J11" s="151" t="n"/>
      <c r="K11" s="86">
        <f>IF(H11&lt;&gt;0,H11/Resumen!$C$3,0)</f>
        <v/>
      </c>
      <c r="L11" s="152">
        <f>IF(F11&lt;&gt;0,F11/Resumen!$B$11,0)</f>
        <v/>
      </c>
      <c r="M11" s="96" t="n"/>
      <c r="N11" s="96" t="n"/>
    </row>
    <row r="12" ht="15" customHeight="1" s="80">
      <c r="A12" s="90" t="inlineStr">
        <is>
          <t>SUPV</t>
        </is>
      </c>
      <c r="B12" s="85" t="inlineStr">
        <is>
          <t>Grupo Supervielle</t>
        </is>
      </c>
      <c r="C12" s="86" t="n">
        <v>20173</v>
      </c>
      <c r="D12" s="147" t="n">
        <v>3006.98</v>
      </c>
      <c r="E12" s="148">
        <f>googlefinance("BCBA:SUPV","price")</f>
        <v/>
      </c>
      <c r="F12" s="86">
        <f>C12*E12</f>
        <v/>
      </c>
      <c r="G12" s="86">
        <f>C12*D12</f>
        <v/>
      </c>
      <c r="H12" s="149">
        <f>F12-G12</f>
        <v/>
      </c>
      <c r="I12" s="150">
        <f>IF(G12&gt;0,(F12-G12)/G12,0)</f>
        <v/>
      </c>
      <c r="J12" s="151" t="n"/>
      <c r="K12" s="86">
        <f>IF(H12&lt;&gt;0,H12/Resumen!$C$3,0)</f>
        <v/>
      </c>
      <c r="L12" s="152">
        <f>IF(F12&lt;&gt;0,F12/Resumen!$B$11,0)</f>
        <v/>
      </c>
      <c r="M12" s="96" t="n"/>
      <c r="N12" s="96" t="n"/>
    </row>
    <row r="13" ht="15" customHeight="1" s="80">
      <c r="A13" s="90" t="inlineStr">
        <is>
          <t>TGSU2</t>
        </is>
      </c>
      <c r="B13" s="85" t="inlineStr">
        <is>
          <t>TGS</t>
        </is>
      </c>
      <c r="C13" s="86" t="n">
        <v>5292</v>
      </c>
      <c r="D13" s="147" t="n">
        <v>7893.28</v>
      </c>
      <c r="E13" s="148">
        <f>googlefinance("BCBA:TGSU2","price")</f>
        <v/>
      </c>
      <c r="F13" s="86">
        <f>C13*E13</f>
        <v/>
      </c>
      <c r="G13" s="86">
        <f>C13*D13</f>
        <v/>
      </c>
      <c r="H13" s="149">
        <f>F13-G13</f>
        <v/>
      </c>
      <c r="I13" s="150">
        <f>IF(G13&gt;0,(F13-G13)/G13,0)</f>
        <v/>
      </c>
      <c r="J13" s="151" t="n"/>
      <c r="K13" s="86">
        <f>IF(H13&lt;&gt;0,H13/Resumen!$C$3,0)</f>
        <v/>
      </c>
      <c r="L13" s="152">
        <f>IF(F13&lt;&gt;0,F13/Resumen!$B$11,0)</f>
        <v/>
      </c>
      <c r="M13" s="96" t="n"/>
      <c r="N13" s="96" t="n"/>
    </row>
    <row r="14" ht="15" customHeight="1" s="80">
      <c r="A14" s="90" t="inlineStr">
        <is>
          <t>TXAR</t>
        </is>
      </c>
      <c r="B14" s="85" t="inlineStr">
        <is>
          <t>Ternium Argentina</t>
        </is>
      </c>
      <c r="C14" s="86" t="n">
        <v>20545</v>
      </c>
      <c r="D14" s="147" t="n">
        <v>843.9400000000001</v>
      </c>
      <c r="E14" s="148">
        <f>googlefinance("BCBA:TXAR","price")</f>
        <v/>
      </c>
      <c r="F14" s="86">
        <f>C14*E14</f>
        <v/>
      </c>
      <c r="G14" s="86">
        <f>C14*D14</f>
        <v/>
      </c>
      <c r="H14" s="149">
        <f>F14-G14</f>
        <v/>
      </c>
      <c r="I14" s="150">
        <f>IF(G14&gt;0,(F14-G14)/G14,0)</f>
        <v/>
      </c>
      <c r="J14" s="151" t="n"/>
      <c r="K14" s="86">
        <f>IF(H14&lt;&gt;0,H14/Resumen!$C$3,0)</f>
        <v/>
      </c>
      <c r="L14" s="152">
        <f>IF(F14&lt;&gt;0,F14/Resumen!$B$11,0)</f>
        <v/>
      </c>
      <c r="M14" s="96" t="n"/>
      <c r="N14" s="96" t="n"/>
    </row>
    <row r="15" ht="15" customHeight="1" s="80">
      <c r="A15" s="90" t="inlineStr">
        <is>
          <t>YPFD</t>
        </is>
      </c>
      <c r="B15" s="85" t="inlineStr">
        <is>
          <t>YPF S.A.</t>
        </is>
      </c>
      <c r="C15" s="86" t="n">
        <v>2682</v>
      </c>
      <c r="D15" s="147" t="n">
        <v>34532.44</v>
      </c>
      <c r="E15" s="148">
        <f>googlefinance("BCBA:YPFD","price")</f>
        <v/>
      </c>
      <c r="F15" s="86">
        <f>C15*E15</f>
        <v/>
      </c>
      <c r="G15" s="86">
        <f>C15*D15</f>
        <v/>
      </c>
      <c r="H15" s="149">
        <f>F15-G15</f>
        <v/>
      </c>
      <c r="I15" s="150">
        <f>IF(G15&gt;0,(F15-G15)/G15,0)</f>
        <v/>
      </c>
      <c r="J15" s="151" t="n"/>
      <c r="K15" s="86">
        <f>IF(H15&lt;&gt;0,H15/Resumen!$C$3,0)</f>
        <v/>
      </c>
      <c r="L15" s="152">
        <f>IF(F15&lt;&gt;0,F15/Resumen!$B$11,0)</f>
        <v/>
      </c>
      <c r="M15" s="96" t="n"/>
      <c r="N15" s="96" t="n"/>
    </row>
    <row r="16" ht="15" customHeight="1" s="80">
      <c r="A16" s="105" t="inlineStr">
        <is>
          <t>SUBTOTAL</t>
        </is>
      </c>
      <c r="B16" s="106" t="n"/>
      <c r="C16" s="106" t="n"/>
      <c r="D16" s="106" t="n"/>
      <c r="E16" s="106" t="n"/>
      <c r="F16" s="153">
        <f>SUM(F6:F15)</f>
        <v/>
      </c>
      <c r="G16" s="153">
        <f>SUM(G6:G15)</f>
        <v/>
      </c>
      <c r="H16" s="153">
        <f>F16-G16</f>
        <v/>
      </c>
      <c r="I16" s="154">
        <f>IF(G16&gt;0,(F16-G16)/G16,0)</f>
        <v/>
      </c>
      <c r="J16" s="106" t="n"/>
      <c r="K16" s="153">
        <f>SUM(K6:K15)</f>
        <v/>
      </c>
      <c r="L16" s="154">
        <f>SUM(L6:L15)</f>
        <v/>
      </c>
      <c r="M16" s="106" t="n"/>
      <c r="N16" s="106" t="n"/>
    </row>
    <row r="17" ht="15" customHeight="1" s="80">
      <c r="A17" s="90" t="n"/>
      <c r="B17" s="85" t="n"/>
      <c r="C17" s="86" t="n"/>
      <c r="D17" s="147" t="n"/>
      <c r="E17" s="148" t="n"/>
      <c r="F17" s="86" t="n"/>
      <c r="G17" s="86" t="n"/>
      <c r="H17" s="149" t="n"/>
      <c r="I17" s="150" t="n"/>
      <c r="J17" s="151" t="n"/>
      <c r="K17" s="86" t="n"/>
      <c r="L17" s="152" t="n"/>
      <c r="M17" s="96" t="n"/>
      <c r="N17" s="96" t="n"/>
    </row>
    <row r="18" ht="15" customHeight="1" s="80">
      <c r="A18" s="83" t="inlineStr">
        <is>
          <t>CEDEARs</t>
        </is>
      </c>
      <c r="B18" s="85" t="n"/>
      <c r="C18" s="86" t="n"/>
      <c r="D18" s="147" t="n"/>
      <c r="E18" s="148" t="n"/>
      <c r="F18" s="86" t="n"/>
      <c r="G18" s="86" t="n"/>
      <c r="H18" s="149" t="n"/>
      <c r="I18" s="150" t="n"/>
      <c r="J18" s="151" t="n"/>
      <c r="K18" s="86" t="n"/>
      <c r="L18" s="152" t="n"/>
      <c r="M18" s="96" t="n"/>
      <c r="N18" s="96" t="n"/>
    </row>
    <row r="19" ht="15" customHeight="1" s="80">
      <c r="A19" s="136" t="inlineStr">
        <is>
          <t>Ticker</t>
        </is>
      </c>
      <c r="B19" s="136" t="inlineStr">
        <is>
          <t>Descripción</t>
        </is>
      </c>
      <c r="C19" s="136" t="inlineStr">
        <is>
          <t>Cantidad</t>
        </is>
      </c>
      <c r="D19" s="136" t="inlineStr">
        <is>
          <t>PPC Compra</t>
        </is>
      </c>
      <c r="E19" s="136" t="inlineStr">
        <is>
          <t>Precio Vivo</t>
        </is>
      </c>
      <c r="F19" s="136" t="inlineStr">
        <is>
          <t>Valor Actual</t>
        </is>
      </c>
      <c r="G19" s="136" t="inlineStr">
        <is>
          <t>Costo Total</t>
        </is>
      </c>
      <c r="H19" s="136" t="inlineStr">
        <is>
          <t>P&amp;L $</t>
        </is>
      </c>
      <c r="I19" s="136" t="inlineStr">
        <is>
          <t>P&amp;L %</t>
        </is>
      </c>
      <c r="J19" s="136" t="inlineStr">
        <is>
          <t>Var Día %</t>
        </is>
      </c>
      <c r="K19" s="136" t="inlineStr">
        <is>
          <t>P&amp;L USD</t>
        </is>
      </c>
      <c r="L19" s="136" t="inlineStr">
        <is>
          <t>Peso %</t>
        </is>
      </c>
      <c r="M19" s="136" t="inlineStr">
        <is>
          <t>Vencimiento</t>
        </is>
      </c>
      <c r="N19" s="136" t="inlineStr">
        <is>
          <t>Días</t>
        </is>
      </c>
    </row>
    <row r="20" ht="15" customHeight="1" s="80">
      <c r="A20" s="90" t="inlineStr">
        <is>
          <t>BRKB</t>
        </is>
      </c>
      <c r="B20" s="85" t="inlineStr">
        <is>
          <t>Berkshire Hathaway</t>
        </is>
      </c>
      <c r="C20" s="86" t="n">
        <v>865</v>
      </c>
      <c r="D20" s="147" t="n">
        <v>34680</v>
      </c>
      <c r="E20" s="148">
        <f>googlefinance("BCBA:BRKB","price")</f>
        <v/>
      </c>
      <c r="F20" s="86">
        <f>C20*E20</f>
        <v/>
      </c>
      <c r="G20" s="86">
        <f>C20*D20</f>
        <v/>
      </c>
      <c r="H20" s="149">
        <f>F20-G20</f>
        <v/>
      </c>
      <c r="I20" s="150">
        <f>IF(G20&gt;0,(F20-G20)/G20,0)</f>
        <v/>
      </c>
      <c r="J20" s="151" t="n"/>
      <c r="K20" s="86">
        <f>IF(H20&lt;&gt;0,H20/Resumen!$C$3,0)</f>
        <v/>
      </c>
      <c r="L20" s="152">
        <f>IF(F20&lt;&gt;0,F20/Resumen!$B$11,0)</f>
        <v/>
      </c>
      <c r="M20" s="96" t="n"/>
      <c r="N20" s="96" t="n"/>
    </row>
    <row r="21" ht="15" customHeight="1" s="80">
      <c r="A21" s="90" t="inlineStr">
        <is>
          <t>COIN</t>
        </is>
      </c>
      <c r="B21" s="85" t="inlineStr">
        <is>
          <t>Coinbase</t>
        </is>
      </c>
      <c r="C21" s="86" t="n">
        <v>2880</v>
      </c>
      <c r="D21" s="147" t="n">
        <v>13735.57</v>
      </c>
      <c r="E21" s="148">
        <f>googlefinance("BCBA:COIN","price")</f>
        <v/>
      </c>
      <c r="F21" s="86">
        <f>C21*E21</f>
        <v/>
      </c>
      <c r="G21" s="86">
        <f>C21*D21</f>
        <v/>
      </c>
      <c r="H21" s="149">
        <f>F21-G21</f>
        <v/>
      </c>
      <c r="I21" s="150">
        <f>IF(G21&gt;0,(F21-G21)/G21,0)</f>
        <v/>
      </c>
      <c r="J21" s="151" t="n"/>
      <c r="K21" s="86">
        <f>IF(H21&lt;&gt;0,H21/Resumen!$C$3,0)</f>
        <v/>
      </c>
      <c r="L21" s="152">
        <f>IF(F21&lt;&gt;0,F21/Resumen!$B$11,0)</f>
        <v/>
      </c>
      <c r="M21" s="96" t="n"/>
      <c r="N21" s="96" t="n"/>
    </row>
    <row r="22" ht="15" customHeight="1" s="80">
      <c r="A22" s="90" t="inlineStr">
        <is>
          <t>CVX</t>
        </is>
      </c>
      <c r="B22" s="85" t="inlineStr">
        <is>
          <t>Chevron</t>
        </is>
      </c>
      <c r="C22" s="86" t="n">
        <v>10</v>
      </c>
      <c r="D22" s="147" t="n">
        <v>18110</v>
      </c>
      <c r="E22" s="148">
        <f>googlefinance("BCBA:CVX","price")</f>
        <v/>
      </c>
      <c r="F22" s="86">
        <f>C22*E22</f>
        <v/>
      </c>
      <c r="G22" s="86">
        <f>C22*D22</f>
        <v/>
      </c>
      <c r="H22" s="149">
        <f>F22-G22</f>
        <v/>
      </c>
      <c r="I22" s="150">
        <f>IF(G22&gt;0,(F22-G22)/G22,0)</f>
        <v/>
      </c>
      <c r="J22" s="151" t="n"/>
      <c r="K22" s="86">
        <f>IF(H22&lt;&gt;0,H22/Resumen!$C$3,0)</f>
        <v/>
      </c>
      <c r="L22" s="152">
        <f>IF(F22&lt;&gt;0,F22/Resumen!$B$11,0)</f>
        <v/>
      </c>
      <c r="M22" s="96" t="n"/>
      <c r="N22" s="96" t="n"/>
    </row>
    <row r="23" ht="15" customHeight="1" s="80">
      <c r="A23" s="90" t="inlineStr">
        <is>
          <t>ETHA</t>
        </is>
      </c>
      <c r="B23" s="85" t="inlineStr">
        <is>
          <t>iShares Ethereum</t>
        </is>
      </c>
      <c r="C23" s="86" t="n">
        <v>1350</v>
      </c>
      <c r="D23" s="147" t="n">
        <v>7250</v>
      </c>
      <c r="E23" s="148">
        <f>googlefinance("BCBA:ETHA","price")</f>
        <v/>
      </c>
      <c r="F23" s="86">
        <f>C23*E23</f>
        <v/>
      </c>
      <c r="G23" s="86">
        <f>C23*D23</f>
        <v/>
      </c>
      <c r="H23" s="149">
        <f>F23-G23</f>
        <v/>
      </c>
      <c r="I23" s="150">
        <f>IF(G23&gt;0,(F23-G23)/G23,0)</f>
        <v/>
      </c>
      <c r="J23" s="151" t="n"/>
      <c r="K23" s="86">
        <f>IF(H23&lt;&gt;0,H23/Resumen!$C$3,0)</f>
        <v/>
      </c>
      <c r="L23" s="152">
        <f>IF(F23&lt;&gt;0,F23/Resumen!$B$11,0)</f>
        <v/>
      </c>
      <c r="M23" s="96" t="n"/>
      <c r="N23" s="96" t="n"/>
    </row>
    <row r="24" ht="15" customHeight="1" s="80">
      <c r="A24" s="90" t="inlineStr">
        <is>
          <t>GLOB</t>
        </is>
      </c>
      <c r="B24" s="85" t="inlineStr">
        <is>
          <t>Globant</t>
        </is>
      </c>
      <c r="C24" s="86" t="n">
        <v>100</v>
      </c>
      <c r="D24" s="147" t="n">
        <v>4032.5</v>
      </c>
      <c r="E24" s="148">
        <f>googlefinance("BCBA:GLOB","price")</f>
        <v/>
      </c>
      <c r="F24" s="86">
        <f>C24*E24</f>
        <v/>
      </c>
      <c r="G24" s="86">
        <f>C24*D24</f>
        <v/>
      </c>
      <c r="H24" s="149">
        <f>F24-G24</f>
        <v/>
      </c>
      <c r="I24" s="150">
        <f>IF(G24&gt;0,(F24-G24)/G24,0)</f>
        <v/>
      </c>
      <c r="J24" s="151" t="n"/>
      <c r="K24" s="86">
        <f>IF(H24&lt;&gt;0,H24/Resumen!$C$3,0)</f>
        <v/>
      </c>
      <c r="L24" s="152">
        <f>IF(F24&lt;&gt;0,F24/Resumen!$B$11,0)</f>
        <v/>
      </c>
      <c r="M24" s="96" t="n"/>
      <c r="N24" s="96" t="n"/>
    </row>
    <row r="25" ht="15" customHeight="1" s="80">
      <c r="A25" s="90" t="inlineStr">
        <is>
          <t>IBIT</t>
        </is>
      </c>
      <c r="B25" s="85" t="inlineStr">
        <is>
          <t>iShares Bitcoin</t>
        </is>
      </c>
      <c r="C25" s="86" t="n">
        <v>7420</v>
      </c>
      <c r="D25" s="147" t="n">
        <v>8656.700000000001</v>
      </c>
      <c r="E25" s="148">
        <f>googlefinance("BCBA:IBIT","price")</f>
        <v/>
      </c>
      <c r="F25" s="86">
        <f>C25*E25</f>
        <v/>
      </c>
      <c r="G25" s="86">
        <f>C25*D25</f>
        <v/>
      </c>
      <c r="H25" s="149">
        <f>F25-G25</f>
        <v/>
      </c>
      <c r="I25" s="150">
        <f>IF(G25&gt;0,(F25-G25)/G25,0)</f>
        <v/>
      </c>
      <c r="J25" s="151" t="n"/>
      <c r="K25" s="86">
        <f>IF(H25&lt;&gt;0,H25/Resumen!$C$3,0)</f>
        <v/>
      </c>
      <c r="L25" s="152">
        <f>IF(F25&lt;&gt;0,F25/Resumen!$B$11,0)</f>
        <v/>
      </c>
      <c r="M25" s="96" t="n"/>
      <c r="N25" s="96" t="n"/>
    </row>
    <row r="26" ht="15" customHeight="1" s="80">
      <c r="A26" s="90" t="inlineStr">
        <is>
          <t>JPM</t>
        </is>
      </c>
      <c r="B26" s="85" t="inlineStr">
        <is>
          <t>JP Morgan</t>
        </is>
      </c>
      <c r="C26" s="86" t="n">
        <v>600</v>
      </c>
      <c r="D26" s="147" t="n">
        <v>33283.8</v>
      </c>
      <c r="E26" s="148">
        <f>googlefinance("BCBA:JPM","price")</f>
        <v/>
      </c>
      <c r="F26" s="86">
        <f>C26*E26</f>
        <v/>
      </c>
      <c r="G26" s="86">
        <f>C26*D26</f>
        <v/>
      </c>
      <c r="H26" s="149">
        <f>F26-G26</f>
        <v/>
      </c>
      <c r="I26" s="150">
        <f>IF(G26&gt;0,(F26-G26)/G26,0)</f>
        <v/>
      </c>
      <c r="J26" s="151" t="n"/>
      <c r="K26" s="86">
        <f>IF(H26&lt;&gt;0,H26/Resumen!$C$3,0)</f>
        <v/>
      </c>
      <c r="L26" s="152">
        <f>IF(F26&lt;&gt;0,F26/Resumen!$B$11,0)</f>
        <v/>
      </c>
      <c r="M26" s="96" t="n"/>
      <c r="N26" s="96" t="n"/>
    </row>
    <row r="27" ht="15" customHeight="1" s="80">
      <c r="A27" s="90" t="inlineStr">
        <is>
          <t>KO</t>
        </is>
      </c>
      <c r="B27" s="85" t="inlineStr">
        <is>
          <t>Coca-Cola</t>
        </is>
      </c>
      <c r="C27" s="86" t="n">
        <v>10</v>
      </c>
      <c r="D27" s="147" t="n">
        <v>22950</v>
      </c>
      <c r="E27" s="148">
        <f>googlefinance("BCBA:KO","price")</f>
        <v/>
      </c>
      <c r="F27" s="86">
        <f>C27*E27</f>
        <v/>
      </c>
      <c r="G27" s="86">
        <f>C27*D27</f>
        <v/>
      </c>
      <c r="H27" s="149">
        <f>F27-G27</f>
        <v/>
      </c>
      <c r="I27" s="150">
        <f>IF(G27&gt;0,(F27-G27)/G27,0)</f>
        <v/>
      </c>
      <c r="J27" s="151" t="n"/>
      <c r="K27" s="86">
        <f>IF(H27&lt;&gt;0,H27/Resumen!$C$3,0)</f>
        <v/>
      </c>
      <c r="L27" s="152">
        <f>IF(F27&lt;&gt;0,F27/Resumen!$B$11,0)</f>
        <v/>
      </c>
      <c r="M27" s="96" t="n"/>
      <c r="N27" s="96" t="n"/>
    </row>
    <row r="28" ht="15" customHeight="1" s="80">
      <c r="A28" s="90" t="inlineStr">
        <is>
          <t>LLY</t>
        </is>
      </c>
      <c r="B28" s="85" t="inlineStr">
        <is>
          <t>Eli Lilly</t>
        </is>
      </c>
      <c r="C28" s="86" t="n">
        <v>1175</v>
      </c>
      <c r="D28" s="147" t="n">
        <v>29732.44</v>
      </c>
      <c r="E28" s="148">
        <f>googlefinance("BCBA:LLY","price")</f>
        <v/>
      </c>
      <c r="F28" s="86">
        <f>C28*E28</f>
        <v/>
      </c>
      <c r="G28" s="86">
        <f>C28*D28</f>
        <v/>
      </c>
      <c r="H28" s="149">
        <f>F28-G28</f>
        <v/>
      </c>
      <c r="I28" s="150">
        <f>IF(G28&gt;0,(F28-G28)/G28,0)</f>
        <v/>
      </c>
      <c r="J28" s="151" t="n"/>
      <c r="K28" s="86">
        <f>IF(H28&lt;&gt;0,H28/Resumen!$C$3,0)</f>
        <v/>
      </c>
      <c r="L28" s="152">
        <f>IF(F28&lt;&gt;0,F28/Resumen!$B$11,0)</f>
        <v/>
      </c>
      <c r="M28" s="96" t="n"/>
      <c r="N28" s="96" t="n"/>
    </row>
    <row r="29" ht="15" customHeight="1" s="80">
      <c r="A29" s="90" t="inlineStr">
        <is>
          <t>LMT</t>
        </is>
      </c>
      <c r="B29" s="85" t="inlineStr">
        <is>
          <t>Lockheed Martin</t>
        </is>
      </c>
      <c r="C29" s="86" t="n">
        <v>5</v>
      </c>
      <c r="D29" s="147" t="n">
        <v>47400</v>
      </c>
      <c r="E29" s="148">
        <f>googlefinance("BCBA:LMT","price")</f>
        <v/>
      </c>
      <c r="F29" s="86">
        <f>C29*E29</f>
        <v/>
      </c>
      <c r="G29" s="86">
        <f>C29*D29</f>
        <v/>
      </c>
      <c r="H29" s="149">
        <f>F29-G29</f>
        <v/>
      </c>
      <c r="I29" s="150">
        <f>IF(G29&gt;0,(F29-G29)/G29,0)</f>
        <v/>
      </c>
      <c r="J29" s="151" t="n"/>
      <c r="K29" s="86">
        <f>IF(H29&lt;&gt;0,H29/Resumen!$C$3,0)</f>
        <v/>
      </c>
      <c r="L29" s="152">
        <f>IF(F29&lt;&gt;0,F29/Resumen!$B$11,0)</f>
        <v/>
      </c>
      <c r="M29" s="96" t="n"/>
      <c r="N29" s="96" t="n"/>
    </row>
    <row r="30" ht="15" customHeight="1" s="80">
      <c r="A30" s="90" t="inlineStr">
        <is>
          <t>MELI</t>
        </is>
      </c>
      <c r="B30" s="85" t="inlineStr">
        <is>
          <t>MercadoLibre</t>
        </is>
      </c>
      <c r="C30" s="86" t="n">
        <v>1862</v>
      </c>
      <c r="D30" s="147" t="n">
        <v>26824.79</v>
      </c>
      <c r="E30" s="148">
        <f>googlefinance("BCBA:MELI","price")</f>
        <v/>
      </c>
      <c r="F30" s="86">
        <f>C30*E30</f>
        <v/>
      </c>
      <c r="G30" s="86">
        <f>C30*D30</f>
        <v/>
      </c>
      <c r="H30" s="149">
        <f>F30-G30</f>
        <v/>
      </c>
      <c r="I30" s="150">
        <f>IF(G30&gt;0,(F30-G30)/G30,0)</f>
        <v/>
      </c>
      <c r="J30" s="151" t="n"/>
      <c r="K30" s="86">
        <f>IF(H30&lt;&gt;0,H30/Resumen!$C$3,0)</f>
        <v/>
      </c>
      <c r="L30" s="152">
        <f>IF(F30&lt;&gt;0,F30/Resumen!$B$11,0)</f>
        <v/>
      </c>
      <c r="M30" s="96" t="n"/>
      <c r="N30" s="96" t="n"/>
    </row>
    <row r="31" ht="15" customHeight="1" s="80">
      <c r="A31" s="90" t="inlineStr">
        <is>
          <t>META</t>
        </is>
      </c>
      <c r="B31" s="85" t="inlineStr">
        <is>
          <t>Meta Platforms</t>
        </is>
      </c>
      <c r="C31" s="86" t="n">
        <v>720</v>
      </c>
      <c r="D31" s="147" t="n">
        <v>41599.72</v>
      </c>
      <c r="E31" s="148">
        <f>googlefinance("BCBA:META","price")</f>
        <v/>
      </c>
      <c r="F31" s="86">
        <f>C31*E31</f>
        <v/>
      </c>
      <c r="G31" s="86">
        <f>C31*D31</f>
        <v/>
      </c>
      <c r="H31" s="149">
        <f>F31-G31</f>
        <v/>
      </c>
      <c r="I31" s="150">
        <f>IF(G31&gt;0,(F31-G31)/G31,0)</f>
        <v/>
      </c>
      <c r="J31" s="151" t="n"/>
      <c r="K31" s="86">
        <f>IF(H31&lt;&gt;0,H31/Resumen!$C$3,0)</f>
        <v/>
      </c>
      <c r="L31" s="152">
        <f>IF(F31&lt;&gt;0,F31/Resumen!$B$11,0)</f>
        <v/>
      </c>
      <c r="M31" s="96" t="n"/>
      <c r="N31" s="96" t="n"/>
    </row>
    <row r="32" ht="15" customHeight="1" s="80">
      <c r="A32" s="90" t="inlineStr">
        <is>
          <t>MSFT</t>
        </is>
      </c>
      <c r="B32" s="85" t="inlineStr">
        <is>
          <t>Microsoft</t>
        </is>
      </c>
      <c r="C32" s="86" t="n">
        <v>10</v>
      </c>
      <c r="D32" s="147" t="n">
        <v>19610</v>
      </c>
      <c r="E32" s="148">
        <f>googlefinance("BCBA:MSFT","price")</f>
        <v/>
      </c>
      <c r="F32" s="86">
        <f>C32*E32</f>
        <v/>
      </c>
      <c r="G32" s="86">
        <f>C32*D32</f>
        <v/>
      </c>
      <c r="H32" s="149">
        <f>F32-G32</f>
        <v/>
      </c>
      <c r="I32" s="150">
        <f>IF(G32&gt;0,(F32-G32)/G32,0)</f>
        <v/>
      </c>
      <c r="J32" s="151" t="n"/>
      <c r="K32" s="86">
        <f>IF(H32&lt;&gt;0,H32/Resumen!$C$3,0)</f>
        <v/>
      </c>
      <c r="L32" s="152">
        <f>IF(F32&lt;&gt;0,F32/Resumen!$B$11,0)</f>
        <v/>
      </c>
      <c r="M32" s="96" t="n"/>
      <c r="N32" s="96" t="n"/>
    </row>
    <row r="33" ht="15" customHeight="1" s="80">
      <c r="A33" s="90" t="inlineStr">
        <is>
          <t>MSTR</t>
        </is>
      </c>
      <c r="B33" s="85" t="inlineStr">
        <is>
          <t>MicroStrategy</t>
        </is>
      </c>
      <c r="C33" s="86" t="n">
        <v>11200</v>
      </c>
      <c r="D33" s="147" t="n">
        <v>16417.39</v>
      </c>
      <c r="E33" s="148">
        <f>googlefinance("BCBA:MSTR","price")</f>
        <v/>
      </c>
      <c r="F33" s="86">
        <f>C33*E33</f>
        <v/>
      </c>
      <c r="G33" s="86">
        <f>C33*D33</f>
        <v/>
      </c>
      <c r="H33" s="149">
        <f>F33-G33</f>
        <v/>
      </c>
      <c r="I33" s="150">
        <f>IF(G33&gt;0,(F33-G33)/G33,0)</f>
        <v/>
      </c>
      <c r="J33" s="151" t="n"/>
      <c r="K33" s="86">
        <f>IF(H33&lt;&gt;0,H33/Resumen!$C$3,0)</f>
        <v/>
      </c>
      <c r="L33" s="152">
        <f>IF(F33&lt;&gt;0,F33/Resumen!$B$11,0)</f>
        <v/>
      </c>
      <c r="M33" s="96" t="n"/>
      <c r="N33" s="96" t="n"/>
    </row>
    <row r="34" ht="15" customHeight="1" s="80">
      <c r="A34" s="90" t="inlineStr">
        <is>
          <t>NFLX</t>
        </is>
      </c>
      <c r="B34" s="85" t="inlineStr">
        <is>
          <t>Netflix</t>
        </is>
      </c>
      <c r="C34" s="86" t="n">
        <v>200</v>
      </c>
      <c r="D34" s="147" t="n">
        <v>2900</v>
      </c>
      <c r="E34" s="148">
        <f>googlefinance("BCBA:NFLX","price")</f>
        <v/>
      </c>
      <c r="F34" s="86">
        <f>C34*E34</f>
        <v/>
      </c>
      <c r="G34" s="86">
        <f>C34*D34</f>
        <v/>
      </c>
      <c r="H34" s="149">
        <f>F34-G34</f>
        <v/>
      </c>
      <c r="I34" s="150">
        <f>IF(G34&gt;0,(F34-G34)/G34,0)</f>
        <v/>
      </c>
      <c r="J34" s="151" t="n"/>
      <c r="K34" s="86">
        <f>IF(H34&lt;&gt;0,H34/Resumen!$C$3,0)</f>
        <v/>
      </c>
      <c r="L34" s="152">
        <f>IF(F34&lt;&gt;0,F34/Resumen!$B$11,0)</f>
        <v/>
      </c>
      <c r="M34" s="96" t="n"/>
      <c r="N34" s="96" t="n"/>
    </row>
    <row r="35" ht="15" customHeight="1" s="80">
      <c r="A35" s="90" t="inlineStr">
        <is>
          <t>NVDA</t>
        </is>
      </c>
      <c r="B35" s="85" t="inlineStr">
        <is>
          <t>Nvidia</t>
        </is>
      </c>
      <c r="C35" s="86" t="n">
        <v>4389</v>
      </c>
      <c r="D35" s="147" t="n">
        <v>11389.24</v>
      </c>
      <c r="E35" s="148">
        <f>googlefinance("BCBA:NVDA","price")</f>
        <v/>
      </c>
      <c r="F35" s="86">
        <f>C35*E35</f>
        <v/>
      </c>
      <c r="G35" s="86">
        <f>C35*D35</f>
        <v/>
      </c>
      <c r="H35" s="149">
        <f>F35-G35</f>
        <v/>
      </c>
      <c r="I35" s="150">
        <f>IF(G35&gt;0,(F35-G35)/G35,0)</f>
        <v/>
      </c>
      <c r="J35" s="151" t="n"/>
      <c r="K35" s="86">
        <f>IF(H35&lt;&gt;0,H35/Resumen!$C$3,0)</f>
        <v/>
      </c>
      <c r="L35" s="152">
        <f>IF(F35&lt;&gt;0,F35/Resumen!$B$11,0)</f>
        <v/>
      </c>
      <c r="M35" s="96" t="n"/>
      <c r="N35" s="96" t="n"/>
    </row>
    <row r="36" ht="15" customHeight="1" s="80">
      <c r="A36" s="90" t="inlineStr">
        <is>
          <t>PBR</t>
        </is>
      </c>
      <c r="B36" s="85" t="inlineStr">
        <is>
          <t>Petrobras</t>
        </is>
      </c>
      <c r="C36" s="86" t="n">
        <v>10</v>
      </c>
      <c r="D36" s="147" t="n">
        <v>28260</v>
      </c>
      <c r="E36" s="148">
        <f>googlefinance("BCBA:PBR","price")</f>
        <v/>
      </c>
      <c r="F36" s="86">
        <f>C36*E36</f>
        <v/>
      </c>
      <c r="G36" s="86">
        <f>C36*D36</f>
        <v/>
      </c>
      <c r="H36" s="149">
        <f>F36-G36</f>
        <v/>
      </c>
      <c r="I36" s="150">
        <f>IF(G36&gt;0,(F36-G36)/G36,0)</f>
        <v/>
      </c>
      <c r="J36" s="151" t="n"/>
      <c r="K36" s="86">
        <f>IF(H36&lt;&gt;0,H36/Resumen!$C$3,0)</f>
        <v/>
      </c>
      <c r="L36" s="152">
        <f>IF(F36&lt;&gt;0,F36/Resumen!$B$11,0)</f>
        <v/>
      </c>
      <c r="M36" s="96" t="n"/>
      <c r="N36" s="96" t="n"/>
    </row>
    <row r="37" ht="15" customHeight="1" s="80">
      <c r="A37" s="90" t="inlineStr">
        <is>
          <t>RTX</t>
        </is>
      </c>
      <c r="B37" s="85" t="inlineStr">
        <is>
          <t>Raytheon</t>
        </is>
      </c>
      <c r="C37" s="86" t="n">
        <v>5</v>
      </c>
      <c r="D37" s="147" t="n">
        <v>60575</v>
      </c>
      <c r="E37" s="148">
        <f>googlefinance("BCBA:RTX","price")</f>
        <v/>
      </c>
      <c r="F37" s="86">
        <f>C37*E37</f>
        <v/>
      </c>
      <c r="G37" s="86">
        <f>C37*D37</f>
        <v/>
      </c>
      <c r="H37" s="149">
        <f>F37-G37</f>
        <v/>
      </c>
      <c r="I37" s="150">
        <f>IF(G37&gt;0,(F37-G37)/G37,0)</f>
        <v/>
      </c>
      <c r="J37" s="151" t="n"/>
      <c r="K37" s="86">
        <f>IF(H37&lt;&gt;0,H37/Resumen!$C$3,0)</f>
        <v/>
      </c>
      <c r="L37" s="152">
        <f>IF(F37&lt;&gt;0,F37/Resumen!$B$11,0)</f>
        <v/>
      </c>
      <c r="M37" s="96" t="n"/>
      <c r="N37" s="96" t="n"/>
    </row>
    <row r="38" ht="15" customHeight="1" s="80">
      <c r="A38" s="90" t="inlineStr">
        <is>
          <t>SLV</t>
        </is>
      </c>
      <c r="B38" s="85" t="inlineStr">
        <is>
          <t>iShares Silver</t>
        </is>
      </c>
      <c r="C38" s="86" t="n">
        <v>50</v>
      </c>
      <c r="D38" s="147" t="n">
        <v>20640</v>
      </c>
      <c r="E38" s="148">
        <f>googlefinance("BCBA:SLV","price")</f>
        <v/>
      </c>
      <c r="F38" s="86">
        <f>C38*E38</f>
        <v/>
      </c>
      <c r="G38" s="86">
        <f>C38*D38</f>
        <v/>
      </c>
      <c r="H38" s="149">
        <f>F38-G38</f>
        <v/>
      </c>
      <c r="I38" s="150">
        <f>IF(G38&gt;0,(F38-G38)/G38,0)</f>
        <v/>
      </c>
      <c r="J38" s="151" t="n"/>
      <c r="K38" s="86">
        <f>IF(H38&lt;&gt;0,H38/Resumen!$C$3,0)</f>
        <v/>
      </c>
      <c r="L38" s="152">
        <f>IF(F38&lt;&gt;0,F38/Resumen!$B$11,0)</f>
        <v/>
      </c>
      <c r="M38" s="96" t="n"/>
      <c r="N38" s="96" t="n"/>
    </row>
    <row r="39" ht="15" customHeight="1" s="80">
      <c r="A39" s="90" t="inlineStr">
        <is>
          <t>V</t>
        </is>
      </c>
      <c r="B39" s="85" t="inlineStr">
        <is>
          <t>Visa</t>
        </is>
      </c>
      <c r="C39" s="86" t="n">
        <v>1005</v>
      </c>
      <c r="D39" s="147" t="n">
        <v>28789.62</v>
      </c>
      <c r="E39" s="148">
        <f>googlefinance("BCBA:V","price")</f>
        <v/>
      </c>
      <c r="F39" s="86">
        <f>C39*E39</f>
        <v/>
      </c>
      <c r="G39" s="86">
        <f>C39*D39</f>
        <v/>
      </c>
      <c r="H39" s="149">
        <f>F39-G39</f>
        <v/>
      </c>
      <c r="I39" s="150">
        <f>IF(G39&gt;0,(F39-G39)/G39,0)</f>
        <v/>
      </c>
      <c r="J39" s="151" t="n"/>
      <c r="K39" s="86">
        <f>IF(H39&lt;&gt;0,H39/Resumen!$C$3,0)</f>
        <v/>
      </c>
      <c r="L39" s="152">
        <f>IF(F39&lt;&gt;0,F39/Resumen!$B$11,0)</f>
        <v/>
      </c>
      <c r="M39" s="96" t="n"/>
      <c r="N39" s="96" t="n"/>
    </row>
    <row r="40" ht="15" customHeight="1" s="80">
      <c r="A40" s="90" t="inlineStr">
        <is>
          <t>VIST</t>
        </is>
      </c>
      <c r="B40" s="85" t="inlineStr">
        <is>
          <t>Vista Energy</t>
        </is>
      </c>
      <c r="C40" s="86" t="n">
        <v>38</v>
      </c>
      <c r="D40" s="147" t="n">
        <v>27760</v>
      </c>
      <c r="E40" s="148">
        <f>googlefinance("BCBA:VIST","price")</f>
        <v/>
      </c>
      <c r="F40" s="86">
        <f>C40*E40</f>
        <v/>
      </c>
      <c r="G40" s="86">
        <f>C40*D40</f>
        <v/>
      </c>
      <c r="H40" s="149">
        <f>F40-G40</f>
        <v/>
      </c>
      <c r="I40" s="150">
        <f>IF(G40&gt;0,(F40-G40)/G40,0)</f>
        <v/>
      </c>
      <c r="J40" s="151" t="n"/>
      <c r="K40" s="86">
        <f>IF(H40&lt;&gt;0,H40/Resumen!$C$3,0)</f>
        <v/>
      </c>
      <c r="L40" s="152">
        <f>IF(F40&lt;&gt;0,F40/Resumen!$B$11,0)</f>
        <v/>
      </c>
      <c r="M40" s="96" t="n"/>
      <c r="N40" s="96" t="n"/>
    </row>
    <row r="41" ht="15" customHeight="1" s="80">
      <c r="A41" s="90" t="inlineStr">
        <is>
          <t>WMT</t>
        </is>
      </c>
      <c r="B41" s="85" t="inlineStr">
        <is>
          <t>Walmart</t>
        </is>
      </c>
      <c r="C41" s="86" t="n">
        <v>100</v>
      </c>
      <c r="D41" s="147" t="n">
        <v>10397.39</v>
      </c>
      <c r="E41" s="148">
        <f>googlefinance("BCBA:WMT","price")</f>
        <v/>
      </c>
      <c r="F41" s="86">
        <f>C41*E41</f>
        <v/>
      </c>
      <c r="G41" s="86">
        <f>C41*D41</f>
        <v/>
      </c>
      <c r="H41" s="149">
        <f>F41-G41</f>
        <v/>
      </c>
      <c r="I41" s="150">
        <f>IF(G41&gt;0,(F41-G41)/G41,0)</f>
        <v/>
      </c>
      <c r="J41" s="151" t="n"/>
      <c r="K41" s="86">
        <f>IF(H41&lt;&gt;0,H41/Resumen!$C$3,0)</f>
        <v/>
      </c>
      <c r="L41" s="152">
        <f>IF(F41&lt;&gt;0,F41/Resumen!$B$11,0)</f>
        <v/>
      </c>
      <c r="M41" s="96" t="n"/>
      <c r="N41" s="96" t="n"/>
    </row>
    <row r="42" ht="15" customHeight="1" s="80">
      <c r="A42" s="90" t="inlineStr">
        <is>
          <t>XOM</t>
        </is>
      </c>
      <c r="B42" s="85" t="inlineStr">
        <is>
          <t>Exxon Mobil</t>
        </is>
      </c>
      <c r="C42" s="86" t="n">
        <v>50</v>
      </c>
      <c r="D42" s="147" t="n">
        <v>22270</v>
      </c>
      <c r="E42" s="148">
        <f>googlefinance("BCBA:XOM","price")</f>
        <v/>
      </c>
      <c r="F42" s="86">
        <f>C42*E42</f>
        <v/>
      </c>
      <c r="G42" s="86">
        <f>C42*D42</f>
        <v/>
      </c>
      <c r="H42" s="149">
        <f>F42-G42</f>
        <v/>
      </c>
      <c r="I42" s="150">
        <f>IF(G42&gt;0,(F42-G42)/G42,0)</f>
        <v/>
      </c>
      <c r="J42" s="151" t="n"/>
      <c r="K42" s="86">
        <f>IF(H42&lt;&gt;0,H42/Resumen!$C$3,0)</f>
        <v/>
      </c>
      <c r="L42" s="152">
        <f>IF(F42&lt;&gt;0,F42/Resumen!$B$11,0)</f>
        <v/>
      </c>
      <c r="M42" s="96" t="n"/>
      <c r="N42" s="96" t="n"/>
    </row>
    <row r="43" ht="15" customHeight="1" s="80">
      <c r="A43" s="105" t="inlineStr">
        <is>
          <t>SUBTOTAL</t>
        </is>
      </c>
      <c r="B43" s="106" t="n"/>
      <c r="C43" s="106" t="n"/>
      <c r="D43" s="106" t="n"/>
      <c r="E43" s="106" t="n"/>
      <c r="F43" s="153">
        <f>SUM(F20:F42)</f>
        <v/>
      </c>
      <c r="G43" s="153">
        <f>SUM(G20:G42)</f>
        <v/>
      </c>
      <c r="H43" s="153">
        <f>F43-G43</f>
        <v/>
      </c>
      <c r="I43" s="154">
        <f>IF(G43&gt;0,(F43-G43)/G43,0)</f>
        <v/>
      </c>
      <c r="J43" s="106" t="n"/>
      <c r="K43" s="153">
        <f>SUM(K20:K42)</f>
        <v/>
      </c>
      <c r="L43" s="154">
        <f>SUM(L20:L42)</f>
        <v/>
      </c>
      <c r="M43" s="106" t="n"/>
      <c r="N43" s="106" t="n"/>
    </row>
    <row r="44" ht="15" customHeight="1" s="80">
      <c r="A44" s="90" t="n"/>
      <c r="B44" s="85" t="n"/>
      <c r="C44" s="86" t="n"/>
      <c r="D44" s="147" t="n"/>
      <c r="E44" s="148" t="n"/>
      <c r="F44" s="86" t="n"/>
      <c r="G44" s="86" t="n"/>
      <c r="H44" s="149" t="n"/>
      <c r="I44" s="150" t="n"/>
      <c r="J44" s="151" t="n"/>
      <c r="K44" s="86" t="n"/>
      <c r="L44" s="152" t="n"/>
      <c r="M44" s="96" t="n"/>
      <c r="N44" s="96" t="n"/>
    </row>
    <row r="45" ht="15" customHeight="1" s="80">
      <c r="A45" s="83" t="inlineStr">
        <is>
          <t>BONOS SOBERANOS</t>
        </is>
      </c>
      <c r="B45" s="85" t="n"/>
      <c r="C45" s="86" t="n"/>
      <c r="D45" s="147" t="n"/>
      <c r="E45" s="148" t="n"/>
      <c r="F45" s="86" t="n"/>
      <c r="G45" s="86" t="n"/>
      <c r="H45" s="149" t="n"/>
      <c r="I45" s="150" t="n"/>
      <c r="J45" s="151" t="n"/>
      <c r="K45" s="86" t="n"/>
      <c r="L45" s="152" t="n"/>
      <c r="M45" s="96" t="n"/>
      <c r="N45" s="96" t="n"/>
    </row>
    <row r="46" ht="15" customHeight="1" s="80">
      <c r="A46" s="136" t="inlineStr">
        <is>
          <t>Ticker</t>
        </is>
      </c>
      <c r="B46" s="136" t="inlineStr">
        <is>
          <t>Descripción</t>
        </is>
      </c>
      <c r="C46" s="136" t="inlineStr">
        <is>
          <t>Cantidad</t>
        </is>
      </c>
      <c r="D46" s="136" t="inlineStr">
        <is>
          <t>PPC Compra</t>
        </is>
      </c>
      <c r="E46" s="136" t="inlineStr">
        <is>
          <t>Precio Vivo</t>
        </is>
      </c>
      <c r="F46" s="136" t="inlineStr">
        <is>
          <t>Valor Actual</t>
        </is>
      </c>
      <c r="G46" s="136" t="inlineStr">
        <is>
          <t>Costo Total</t>
        </is>
      </c>
      <c r="H46" s="136" t="inlineStr">
        <is>
          <t>P&amp;L $</t>
        </is>
      </c>
      <c r="I46" s="136" t="inlineStr">
        <is>
          <t>P&amp;L %</t>
        </is>
      </c>
      <c r="J46" s="136" t="inlineStr">
        <is>
          <t>Var Día %</t>
        </is>
      </c>
      <c r="K46" s="136" t="inlineStr">
        <is>
          <t>P&amp;L USD</t>
        </is>
      </c>
      <c r="L46" s="136" t="inlineStr">
        <is>
          <t>Peso %</t>
        </is>
      </c>
      <c r="M46" s="136" t="inlineStr">
        <is>
          <t>Vencimiento</t>
        </is>
      </c>
      <c r="N46" s="136" t="inlineStr">
        <is>
          <t>Días</t>
        </is>
      </c>
    </row>
    <row r="47" ht="15" customHeight="1" s="80">
      <c r="A47" s="90" t="inlineStr">
        <is>
          <t>AE38</t>
        </is>
      </c>
      <c r="B47" s="85" t="inlineStr">
        <is>
          <t>Bono Arg USD 2038</t>
        </is>
      </c>
      <c r="C47" s="86" t="n">
        <v>21194</v>
      </c>
      <c r="D47" s="147" t="n">
        <v>1001.2</v>
      </c>
      <c r="E47" s="148" t="n">
        <v>1142.8</v>
      </c>
      <c r="F47" s="86">
        <f>C47*E47</f>
        <v/>
      </c>
      <c r="G47" s="86">
        <f>C47*D47</f>
        <v/>
      </c>
      <c r="H47" s="149">
        <f>F47-G47</f>
        <v/>
      </c>
      <c r="I47" s="150">
        <f>IF(G47&gt;0,(F47-G47)/G47,0)</f>
        <v/>
      </c>
      <c r="J47" s="151" t="n"/>
      <c r="K47" s="86">
        <f>IF(H47&lt;&gt;0,H47/Resumen!$C$3,0)</f>
        <v/>
      </c>
      <c r="L47" s="152">
        <f>IF(F47&lt;&gt;0,F47/Resumen!$B$11,0)</f>
        <v/>
      </c>
      <c r="M47" s="96" t="inlineStr">
        <is>
          <t>2038-01-09</t>
        </is>
      </c>
      <c r="N47" s="96" t="n">
        <v>4294</v>
      </c>
    </row>
    <row r="48" ht="15" customHeight="1" s="80">
      <c r="A48" s="90" t="inlineStr">
        <is>
          <t>AL30</t>
        </is>
      </c>
      <c r="B48" s="85" t="inlineStr">
        <is>
          <t>Bono Arg USD 2030</t>
        </is>
      </c>
      <c r="C48" s="86" t="n">
        <v>40000</v>
      </c>
      <c r="D48" s="147" t="n">
        <v>388.43</v>
      </c>
      <c r="E48" s="148" t="n">
        <v>906</v>
      </c>
      <c r="F48" s="86">
        <f>C48*E48</f>
        <v/>
      </c>
      <c r="G48" s="86">
        <f>C48*D48</f>
        <v/>
      </c>
      <c r="H48" s="149">
        <f>F48-G48</f>
        <v/>
      </c>
      <c r="I48" s="150">
        <f>IF(G48&gt;0,(F48-G48)/G48,0)</f>
        <v/>
      </c>
      <c r="J48" s="151" t="n"/>
      <c r="K48" s="86">
        <f>IF(H48&lt;&gt;0,H48/Resumen!$C$3,0)</f>
        <v/>
      </c>
      <c r="L48" s="152">
        <f>IF(F48&lt;&gt;0,F48/Resumen!$B$11,0)</f>
        <v/>
      </c>
      <c r="M48" s="96" t="inlineStr">
        <is>
          <t>2030-07-09</t>
        </is>
      </c>
      <c r="N48" s="96" t="n">
        <v>1553</v>
      </c>
    </row>
    <row r="49" ht="15" customHeight="1" s="80">
      <c r="A49" s="90" t="inlineStr">
        <is>
          <t>GD35</t>
        </is>
      </c>
      <c r="B49" s="85" t="inlineStr">
        <is>
          <t>Global USD 2035</t>
        </is>
      </c>
      <c r="C49" s="86" t="n">
        <v>32881</v>
      </c>
      <c r="D49" s="147" t="n">
        <v>568.4</v>
      </c>
      <c r="E49" s="148" t="n">
        <v>1134.2</v>
      </c>
      <c r="F49" s="86">
        <f>C49*E49</f>
        <v/>
      </c>
      <c r="G49" s="86">
        <f>C49*D49</f>
        <v/>
      </c>
      <c r="H49" s="149">
        <f>F49-G49</f>
        <v/>
      </c>
      <c r="I49" s="150">
        <f>IF(G49&gt;0,(F49-G49)/G49,0)</f>
        <v/>
      </c>
      <c r="J49" s="151" t="n"/>
      <c r="K49" s="86">
        <f>IF(H49&lt;&gt;0,H49/Resumen!$C$3,0)</f>
        <v/>
      </c>
      <c r="L49" s="152">
        <f>IF(F49&lt;&gt;0,F49/Resumen!$B$11,0)</f>
        <v/>
      </c>
      <c r="M49" s="96" t="inlineStr">
        <is>
          <t>2035-07-09</t>
        </is>
      </c>
      <c r="N49" s="96" t="n">
        <v>3379</v>
      </c>
    </row>
    <row r="50" ht="15" customHeight="1" s="80">
      <c r="A50" s="90" t="inlineStr">
        <is>
          <t>GD38</t>
        </is>
      </c>
      <c r="B50" s="85" t="inlineStr">
        <is>
          <t>Global USD 2038</t>
        </is>
      </c>
      <c r="C50" s="86" t="n">
        <v>1674</v>
      </c>
      <c r="D50" s="147" t="n">
        <v>708.04</v>
      </c>
      <c r="E50" s="148" t="n">
        <v>1182.3</v>
      </c>
      <c r="F50" s="86">
        <f>C50*E50</f>
        <v/>
      </c>
      <c r="G50" s="86">
        <f>C50*D50</f>
        <v/>
      </c>
      <c r="H50" s="149">
        <f>F50-G50</f>
        <v/>
      </c>
      <c r="I50" s="150">
        <f>IF(G50&gt;0,(F50-G50)/G50,0)</f>
        <v/>
      </c>
      <c r="J50" s="151" t="n"/>
      <c r="K50" s="86">
        <f>IF(H50&lt;&gt;0,H50/Resumen!$C$3,0)</f>
        <v/>
      </c>
      <c r="L50" s="152">
        <f>IF(F50&lt;&gt;0,F50/Resumen!$B$11,0)</f>
        <v/>
      </c>
      <c r="M50" s="96" t="inlineStr">
        <is>
          <t>2038-01-09</t>
        </is>
      </c>
      <c r="N50" s="96" t="n">
        <v>4294</v>
      </c>
    </row>
    <row r="51" ht="15" customHeight="1" s="80">
      <c r="A51" s="90" t="inlineStr">
        <is>
          <t>GD41</t>
        </is>
      </c>
      <c r="B51" s="85" t="inlineStr">
        <is>
          <t>Global USD 2041</t>
        </is>
      </c>
      <c r="C51" s="86" t="n">
        <v>95852</v>
      </c>
      <c r="D51" s="147" t="n">
        <v>871.37</v>
      </c>
      <c r="E51" s="148" t="n">
        <v>1050</v>
      </c>
      <c r="F51" s="86">
        <f>C51*E51</f>
        <v/>
      </c>
      <c r="G51" s="86">
        <f>C51*D51</f>
        <v/>
      </c>
      <c r="H51" s="149">
        <f>F51-G51</f>
        <v/>
      </c>
      <c r="I51" s="150">
        <f>IF(G51&gt;0,(F51-G51)/G51,0)</f>
        <v/>
      </c>
      <c r="J51" s="151" t="n"/>
      <c r="K51" s="86">
        <f>IF(H51&lt;&gt;0,H51/Resumen!$C$3,0)</f>
        <v/>
      </c>
      <c r="L51" s="152">
        <f>IF(F51&lt;&gt;0,F51/Resumen!$B$11,0)</f>
        <v/>
      </c>
      <c r="M51" s="96" t="inlineStr">
        <is>
          <t>2041-07-09</t>
        </is>
      </c>
      <c r="N51" s="96" t="n">
        <v>5571</v>
      </c>
    </row>
    <row r="52" ht="15" customHeight="1" s="80">
      <c r="A52" s="90" t="inlineStr">
        <is>
          <t>BPOA7</t>
        </is>
      </c>
      <c r="B52" s="85" t="inlineStr">
        <is>
          <t>Bopreal 1A 2027</t>
        </is>
      </c>
      <c r="C52" s="86" t="n">
        <v>35817</v>
      </c>
      <c r="D52" s="147" t="n">
        <v>1477.7</v>
      </c>
      <c r="E52" s="148" t="n">
        <v>1476.9</v>
      </c>
      <c r="F52" s="86">
        <f>C52*E52</f>
        <v/>
      </c>
      <c r="G52" s="86">
        <f>C52*D52</f>
        <v/>
      </c>
      <c r="H52" s="149">
        <f>F52-G52</f>
        <v/>
      </c>
      <c r="I52" s="150">
        <f>IF(G52&gt;0,(F52-G52)/G52,0)</f>
        <v/>
      </c>
      <c r="J52" s="151" t="n"/>
      <c r="K52" s="86">
        <f>IF(H52&lt;&gt;0,H52/Resumen!$C$3,0)</f>
        <v/>
      </c>
      <c r="L52" s="152">
        <f>IF(F52&lt;&gt;0,F52/Resumen!$B$11,0)</f>
        <v/>
      </c>
      <c r="M52" s="96" t="inlineStr">
        <is>
          <t>2027-10-31</t>
        </is>
      </c>
      <c r="N52" s="96" t="n">
        <v>571</v>
      </c>
    </row>
    <row r="53" ht="15" customHeight="1" s="80">
      <c r="A53" s="90" t="inlineStr">
        <is>
          <t>BPOB7</t>
        </is>
      </c>
      <c r="B53" s="85" t="inlineStr">
        <is>
          <t>Bopreal 1B 2027</t>
        </is>
      </c>
      <c r="C53" s="86" t="n">
        <v>10607</v>
      </c>
      <c r="D53" s="147" t="n">
        <v>1415.58</v>
      </c>
      <c r="E53" s="148" t="n">
        <v>1473</v>
      </c>
      <c r="F53" s="86">
        <f>C53*E53</f>
        <v/>
      </c>
      <c r="G53" s="86">
        <f>C53*D53</f>
        <v/>
      </c>
      <c r="H53" s="149">
        <f>F53-G53</f>
        <v/>
      </c>
      <c r="I53" s="150">
        <f>IF(G53&gt;0,(F53-G53)/G53,0)</f>
        <v/>
      </c>
      <c r="J53" s="151" t="n"/>
      <c r="K53" s="86">
        <f>IF(H53&lt;&gt;0,H53/Resumen!$C$3,0)</f>
        <v/>
      </c>
      <c r="L53" s="152">
        <f>IF(F53&lt;&gt;0,F53/Resumen!$B$11,0)</f>
        <v/>
      </c>
      <c r="M53" s="96" t="inlineStr">
        <is>
          <t>2027-10-31</t>
        </is>
      </c>
      <c r="N53" s="96" t="n">
        <v>571</v>
      </c>
    </row>
    <row r="54" ht="15" customHeight="1" s="80">
      <c r="A54" s="90" t="inlineStr">
        <is>
          <t>BPOC7</t>
        </is>
      </c>
      <c r="B54" s="85" t="inlineStr">
        <is>
          <t>Bopreal 1C 2027</t>
        </is>
      </c>
      <c r="C54" s="86" t="n">
        <v>15294</v>
      </c>
      <c r="D54" s="147" t="n">
        <v>1387.77</v>
      </c>
      <c r="E54" s="148" t="n">
        <v>1470</v>
      </c>
      <c r="F54" s="86">
        <f>C54*E54</f>
        <v/>
      </c>
      <c r="G54" s="86">
        <f>C54*D54</f>
        <v/>
      </c>
      <c r="H54" s="149">
        <f>F54-G54</f>
        <v/>
      </c>
      <c r="I54" s="150">
        <f>IF(G54&gt;0,(F54-G54)/G54,0)</f>
        <v/>
      </c>
      <c r="J54" s="151" t="n"/>
      <c r="K54" s="86">
        <f>IF(H54&lt;&gt;0,H54/Resumen!$C$3,0)</f>
        <v/>
      </c>
      <c r="L54" s="152">
        <f>IF(F54&lt;&gt;0,F54/Resumen!$B$11,0)</f>
        <v/>
      </c>
      <c r="M54" s="96" t="inlineStr">
        <is>
          <t>2027-10-31</t>
        </is>
      </c>
      <c r="N54" s="96" t="n">
        <v>571</v>
      </c>
    </row>
    <row r="55" ht="15" customHeight="1" s="80">
      <c r="A55" s="90" t="inlineStr">
        <is>
          <t>BPOD7</t>
        </is>
      </c>
      <c r="B55" s="85" t="inlineStr">
        <is>
          <t>Bopreal 1D 2027</t>
        </is>
      </c>
      <c r="C55" s="86" t="n">
        <v>26310</v>
      </c>
      <c r="D55" s="147" t="n">
        <v>1400.92</v>
      </c>
      <c r="E55" s="148" t="n">
        <v>1473.8</v>
      </c>
      <c r="F55" s="86">
        <f>C55*E55</f>
        <v/>
      </c>
      <c r="G55" s="86">
        <f>C55*D55</f>
        <v/>
      </c>
      <c r="H55" s="149">
        <f>F55-G55</f>
        <v/>
      </c>
      <c r="I55" s="150">
        <f>IF(G55&gt;0,(F55-G55)/G55,0)</f>
        <v/>
      </c>
      <c r="J55" s="151" t="n"/>
      <c r="K55" s="86">
        <f>IF(H55&lt;&gt;0,H55/Resumen!$C$3,0)</f>
        <v/>
      </c>
      <c r="L55" s="152">
        <f>IF(F55&lt;&gt;0,F55/Resumen!$B$11,0)</f>
        <v/>
      </c>
      <c r="M55" s="96" t="inlineStr">
        <is>
          <t>2027-10-31</t>
        </is>
      </c>
      <c r="N55" s="96" t="n">
        <v>571</v>
      </c>
    </row>
    <row r="56" ht="15" customHeight="1" s="80">
      <c r="A56" s="90" t="inlineStr">
        <is>
          <t>BPY26</t>
        </is>
      </c>
      <c r="B56" s="85" t="inlineStr">
        <is>
          <t>Bopreal S3 2026</t>
        </is>
      </c>
      <c r="C56" s="86" t="n">
        <v>19800</v>
      </c>
      <c r="D56" s="147" t="n">
        <v>503</v>
      </c>
      <c r="E56" s="148" t="n">
        <v>521.4</v>
      </c>
      <c r="F56" s="86">
        <f>C56*E56</f>
        <v/>
      </c>
      <c r="G56" s="86">
        <f>C56*D56</f>
        <v/>
      </c>
      <c r="H56" s="149">
        <f>F56-G56</f>
        <v/>
      </c>
      <c r="I56" s="150">
        <f>IF(G56&gt;0,(F56-G56)/G56,0)</f>
        <v/>
      </c>
      <c r="J56" s="151" t="n"/>
      <c r="K56" s="86">
        <f>IF(H56&lt;&gt;0,H56/Resumen!$C$3,0)</f>
        <v/>
      </c>
      <c r="L56" s="152">
        <f>IF(F56&lt;&gt;0,F56/Resumen!$B$11,0)</f>
        <v/>
      </c>
      <c r="M56" s="96" t="inlineStr">
        <is>
          <t>2026-05-31</t>
        </is>
      </c>
      <c r="N56" s="96" t="n">
        <v>53</v>
      </c>
    </row>
    <row r="57" ht="15" customHeight="1" s="80">
      <c r="A57" s="90" t="inlineStr">
        <is>
          <t>TTD26</t>
        </is>
      </c>
      <c r="B57" s="85" t="inlineStr">
        <is>
          <t>Dual Dic 2026</t>
        </is>
      </c>
      <c r="C57" s="86" t="n">
        <v>64646249</v>
      </c>
      <c r="D57" s="147" t="n">
        <v>1.04</v>
      </c>
      <c r="E57" s="148" t="n">
        <v>1.54</v>
      </c>
      <c r="F57" s="86">
        <f>C57*E57</f>
        <v/>
      </c>
      <c r="G57" s="86">
        <f>C57*D57</f>
        <v/>
      </c>
      <c r="H57" s="149">
        <f>F57-G57</f>
        <v/>
      </c>
      <c r="I57" s="150">
        <f>IF(G57&gt;0,(F57-G57)/G57,0)</f>
        <v/>
      </c>
      <c r="J57" s="151" t="n"/>
      <c r="K57" s="86">
        <f>IF(H57&lt;&gt;0,H57/Resumen!$C$3,0)</f>
        <v/>
      </c>
      <c r="L57" s="152">
        <f>IF(F57&lt;&gt;0,F57/Resumen!$B$11,0)</f>
        <v/>
      </c>
      <c r="M57" s="96" t="inlineStr">
        <is>
          <t>2026-12-15</t>
        </is>
      </c>
      <c r="N57" s="96" t="n">
        <v>251</v>
      </c>
    </row>
    <row r="58" ht="15" customHeight="1" s="80">
      <c r="A58" s="90" t="inlineStr">
        <is>
          <t>TTJ26</t>
        </is>
      </c>
      <c r="B58" s="85" t="inlineStr">
        <is>
          <t>Dual Jun 2026</t>
        </is>
      </c>
      <c r="C58" s="86" t="n">
        <v>10703068</v>
      </c>
      <c r="D58" s="147" t="n">
        <v>1.17</v>
      </c>
      <c r="E58" s="148" t="n">
        <v>1.56</v>
      </c>
      <c r="F58" s="86">
        <f>C58*E58</f>
        <v/>
      </c>
      <c r="G58" s="86">
        <f>C58*D58</f>
        <v/>
      </c>
      <c r="H58" s="149">
        <f>F58-G58</f>
        <v/>
      </c>
      <c r="I58" s="150">
        <f>IF(G58&gt;0,(F58-G58)/G58,0)</f>
        <v/>
      </c>
      <c r="J58" s="151" t="n"/>
      <c r="K58" s="86">
        <f>IF(H58&lt;&gt;0,H58/Resumen!$C$3,0)</f>
        <v/>
      </c>
      <c r="L58" s="152">
        <f>IF(F58&lt;&gt;0,F58/Resumen!$B$11,0)</f>
        <v/>
      </c>
      <c r="M58" s="96" t="inlineStr">
        <is>
          <t>2026-06-30</t>
        </is>
      </c>
      <c r="N58" s="96" t="n">
        <v>83</v>
      </c>
    </row>
    <row r="59" ht="15" customHeight="1" s="80">
      <c r="A59" s="90" t="inlineStr">
        <is>
          <t>TTS26</t>
        </is>
      </c>
      <c r="B59" s="85" t="inlineStr">
        <is>
          <t>Dual Sep 2026</t>
        </is>
      </c>
      <c r="C59" s="86" t="n">
        <v>16060130</v>
      </c>
      <c r="D59" s="147" t="n">
        <v>1.21</v>
      </c>
      <c r="E59" s="148" t="n">
        <v>1.55</v>
      </c>
      <c r="F59" s="86">
        <f>C59*E59</f>
        <v/>
      </c>
      <c r="G59" s="86">
        <f>C59*D59</f>
        <v/>
      </c>
      <c r="H59" s="149">
        <f>F59-G59</f>
        <v/>
      </c>
      <c r="I59" s="150">
        <f>IF(G59&gt;0,(F59-G59)/G59,0)</f>
        <v/>
      </c>
      <c r="J59" s="151" t="n"/>
      <c r="K59" s="86">
        <f>IF(H59&lt;&gt;0,H59/Resumen!$C$3,0)</f>
        <v/>
      </c>
      <c r="L59" s="152">
        <f>IF(F59&lt;&gt;0,F59/Resumen!$B$11,0)</f>
        <v/>
      </c>
      <c r="M59" s="96" t="inlineStr">
        <is>
          <t>2026-09-15</t>
        </is>
      </c>
      <c r="N59" s="96" t="n">
        <v>160</v>
      </c>
    </row>
    <row r="60" ht="15" customHeight="1" s="80">
      <c r="A60" s="90" t="inlineStr">
        <is>
          <t>TX26</t>
        </is>
      </c>
      <c r="B60" s="85" t="inlineStr">
        <is>
          <t>Boncer 2% 2026</t>
        </is>
      </c>
      <c r="C60" s="86" t="n">
        <v>4465468</v>
      </c>
      <c r="D60" s="147" t="n">
        <v>10.25</v>
      </c>
      <c r="E60" s="148" t="n">
        <v>13.53</v>
      </c>
      <c r="F60" s="86">
        <f>C60*E60</f>
        <v/>
      </c>
      <c r="G60" s="86">
        <f>C60*D60</f>
        <v/>
      </c>
      <c r="H60" s="149">
        <f>F60-G60</f>
        <v/>
      </c>
      <c r="I60" s="150">
        <f>IF(G60&gt;0,(F60-G60)/G60,0)</f>
        <v/>
      </c>
      <c r="J60" s="151" t="n"/>
      <c r="K60" s="86">
        <f>IF(H60&lt;&gt;0,H60/Resumen!$C$3,0)</f>
        <v/>
      </c>
      <c r="L60" s="152">
        <f>IF(F60&lt;&gt;0,F60/Resumen!$B$11,0)</f>
        <v/>
      </c>
      <c r="M60" s="96" t="inlineStr">
        <is>
          <t>2026-11-15</t>
        </is>
      </c>
      <c r="N60" s="96" t="n">
        <v>221</v>
      </c>
    </row>
    <row r="61" ht="15" customHeight="1" s="80">
      <c r="A61" s="90" t="inlineStr">
        <is>
          <t>TZX26</t>
        </is>
      </c>
      <c r="B61" s="85" t="inlineStr">
        <is>
          <t>Boncer Jun 2026</t>
        </is>
      </c>
      <c r="C61" s="86" t="n">
        <v>5434362</v>
      </c>
      <c r="D61" s="147" t="n">
        <v>3.11</v>
      </c>
      <c r="E61" s="148" t="n">
        <v>3.78</v>
      </c>
      <c r="F61" s="86">
        <f>C61*E61</f>
        <v/>
      </c>
      <c r="G61" s="86">
        <f>C61*D61</f>
        <v/>
      </c>
      <c r="H61" s="149">
        <f>F61-G61</f>
        <v/>
      </c>
      <c r="I61" s="150">
        <f>IF(G61&gt;0,(F61-G61)/G61,0)</f>
        <v/>
      </c>
      <c r="J61" s="151" t="n"/>
      <c r="K61" s="86">
        <f>IF(H61&lt;&gt;0,H61/Resumen!$C$3,0)</f>
        <v/>
      </c>
      <c r="L61" s="152">
        <f>IF(F61&lt;&gt;0,F61/Resumen!$B$11,0)</f>
        <v/>
      </c>
      <c r="M61" s="96" t="inlineStr">
        <is>
          <t>2026-06-30</t>
        </is>
      </c>
      <c r="N61" s="96" t="n">
        <v>83</v>
      </c>
    </row>
    <row r="62" ht="15" customHeight="1" s="80">
      <c r="A62" s="90" t="inlineStr">
        <is>
          <t>TZX27</t>
        </is>
      </c>
      <c r="B62" s="85" t="inlineStr">
        <is>
          <t>Boncer Jun 2027</t>
        </is>
      </c>
      <c r="C62" s="86" t="n">
        <v>100000</v>
      </c>
      <c r="D62" s="147" t="n">
        <v>3.16</v>
      </c>
      <c r="E62" s="148" t="n">
        <v>3.67</v>
      </c>
      <c r="F62" s="86">
        <f>C62*E62</f>
        <v/>
      </c>
      <c r="G62" s="86">
        <f>C62*D62</f>
        <v/>
      </c>
      <c r="H62" s="149">
        <f>F62-G62</f>
        <v/>
      </c>
      <c r="I62" s="150">
        <f>IF(G62&gt;0,(F62-G62)/G62,0)</f>
        <v/>
      </c>
      <c r="J62" s="151" t="n"/>
      <c r="K62" s="86">
        <f>IF(H62&lt;&gt;0,H62/Resumen!$C$3,0)</f>
        <v/>
      </c>
      <c r="L62" s="152">
        <f>IF(F62&lt;&gt;0,F62/Resumen!$B$11,0)</f>
        <v/>
      </c>
      <c r="M62" s="96" t="inlineStr">
        <is>
          <t>2027-06-30</t>
        </is>
      </c>
      <c r="N62" s="96" t="n">
        <v>448</v>
      </c>
    </row>
    <row r="63" ht="15" customHeight="1" s="80">
      <c r="A63" s="90" t="inlineStr">
        <is>
          <t>TZX28</t>
        </is>
      </c>
      <c r="B63" s="85" t="inlineStr">
        <is>
          <t>Boncer Jun 2028</t>
        </is>
      </c>
      <c r="C63" s="86" t="n">
        <v>3347403</v>
      </c>
      <c r="D63" s="147" t="n">
        <v>3</v>
      </c>
      <c r="E63" s="148" t="n">
        <v>3.23</v>
      </c>
      <c r="F63" s="86">
        <f>C63*E63</f>
        <v/>
      </c>
      <c r="G63" s="86">
        <f>C63*D63</f>
        <v/>
      </c>
      <c r="H63" s="149">
        <f>F63-G63</f>
        <v/>
      </c>
      <c r="I63" s="150">
        <f>IF(G63&gt;0,(F63-G63)/G63,0)</f>
        <v/>
      </c>
      <c r="J63" s="151" t="n"/>
      <c r="K63" s="86">
        <f>IF(H63&lt;&gt;0,H63/Resumen!$C$3,0)</f>
        <v/>
      </c>
      <c r="L63" s="152">
        <f>IF(F63&lt;&gt;0,F63/Resumen!$B$11,0)</f>
        <v/>
      </c>
      <c r="M63" s="96" t="inlineStr">
        <is>
          <t>2028-06-30</t>
        </is>
      </c>
      <c r="N63" s="96" t="n">
        <v>814</v>
      </c>
    </row>
    <row r="64" ht="15" customHeight="1" s="80">
      <c r="A64" s="90" t="inlineStr">
        <is>
          <t>TZXD6</t>
        </is>
      </c>
      <c r="B64" s="85" t="inlineStr">
        <is>
          <t>Boncer Dic 2026</t>
        </is>
      </c>
      <c r="C64" s="86" t="n">
        <v>5849023</v>
      </c>
      <c r="D64" s="147" t="n">
        <v>1.69</v>
      </c>
      <c r="E64" s="148" t="n">
        <v>2.79</v>
      </c>
      <c r="F64" s="86">
        <f>C64*E64</f>
        <v/>
      </c>
      <c r="G64" s="86">
        <f>C64*D64</f>
        <v/>
      </c>
      <c r="H64" s="149">
        <f>F64-G64</f>
        <v/>
      </c>
      <c r="I64" s="150">
        <f>IF(G64&gt;0,(F64-G64)/G64,0)</f>
        <v/>
      </c>
      <c r="J64" s="151" t="n"/>
      <c r="K64" s="86">
        <f>IF(H64&lt;&gt;0,H64/Resumen!$C$3,0)</f>
        <v/>
      </c>
      <c r="L64" s="152">
        <f>IF(F64&lt;&gt;0,F64/Resumen!$B$11,0)</f>
        <v/>
      </c>
      <c r="M64" s="96" t="inlineStr">
        <is>
          <t>2026-12-15</t>
        </is>
      </c>
      <c r="N64" s="96" t="n">
        <v>251</v>
      </c>
    </row>
    <row r="65" ht="15" customHeight="1" s="80">
      <c r="A65" s="90" t="inlineStr">
        <is>
          <t>TZXM7</t>
        </is>
      </c>
      <c r="B65" s="85" t="inlineStr">
        <is>
          <t>Boncer Mar 2027</t>
        </is>
      </c>
      <c r="C65" s="86" t="n">
        <v>7903200</v>
      </c>
      <c r="D65" s="147" t="n">
        <v>1.25</v>
      </c>
      <c r="E65" s="148" t="n">
        <v>2.08</v>
      </c>
      <c r="F65" s="86">
        <f>C65*E65</f>
        <v/>
      </c>
      <c r="G65" s="86">
        <f>C65*D65</f>
        <v/>
      </c>
      <c r="H65" s="149">
        <f>F65-G65</f>
        <v/>
      </c>
      <c r="I65" s="150">
        <f>IF(G65&gt;0,(F65-G65)/G65,0)</f>
        <v/>
      </c>
      <c r="J65" s="151" t="n"/>
      <c r="K65" s="86">
        <f>IF(H65&lt;&gt;0,H65/Resumen!$C$3,0)</f>
        <v/>
      </c>
      <c r="L65" s="152">
        <f>IF(F65&lt;&gt;0,F65/Resumen!$B$11,0)</f>
        <v/>
      </c>
      <c r="M65" s="96" t="inlineStr">
        <is>
          <t>2027-03-31</t>
        </is>
      </c>
      <c r="N65" s="96" t="n">
        <v>357</v>
      </c>
    </row>
    <row r="66" ht="15" customHeight="1" s="80">
      <c r="A66" s="90" t="inlineStr">
        <is>
          <t>T15E7</t>
        </is>
      </c>
      <c r="B66" s="85" t="inlineStr">
        <is>
          <t>Bono Cap Ene 2027</t>
        </is>
      </c>
      <c r="C66" s="86" t="n">
        <v>25095761</v>
      </c>
      <c r="D66" s="147" t="n">
        <v>1.29</v>
      </c>
      <c r="E66" s="148" t="n">
        <v>1.36</v>
      </c>
      <c r="F66" s="86">
        <f>C66*E66</f>
        <v/>
      </c>
      <c r="G66" s="86">
        <f>C66*D66</f>
        <v/>
      </c>
      <c r="H66" s="149">
        <f>F66-G66</f>
        <v/>
      </c>
      <c r="I66" s="150">
        <f>IF(G66&gt;0,(F66-G66)/G66,0)</f>
        <v/>
      </c>
      <c r="J66" s="151" t="n"/>
      <c r="K66" s="86">
        <f>IF(H66&lt;&gt;0,H66/Resumen!$C$3,0)</f>
        <v/>
      </c>
      <c r="L66" s="152">
        <f>IF(F66&lt;&gt;0,F66/Resumen!$B$11,0)</f>
        <v/>
      </c>
      <c r="M66" s="96" t="inlineStr">
        <is>
          <t>2027-01-15</t>
        </is>
      </c>
      <c r="N66" s="96" t="n">
        <v>282</v>
      </c>
    </row>
    <row r="67" ht="15" customHeight="1" s="80">
      <c r="A67" s="90" t="inlineStr">
        <is>
          <t>T30A7</t>
        </is>
      </c>
      <c r="B67" s="85" t="inlineStr">
        <is>
          <t>Bono Cap Abr 2027</t>
        </is>
      </c>
      <c r="C67" s="86" t="n">
        <v>20126819</v>
      </c>
      <c r="D67" s="147" t="n">
        <v>1.2</v>
      </c>
      <c r="E67" s="148" t="n">
        <v>1.23</v>
      </c>
      <c r="F67" s="86">
        <f>C67*E67</f>
        <v/>
      </c>
      <c r="G67" s="86">
        <f>C67*D67</f>
        <v/>
      </c>
      <c r="H67" s="149">
        <f>F67-G67</f>
        <v/>
      </c>
      <c r="I67" s="150">
        <f>IF(G67&gt;0,(F67-G67)/G67,0)</f>
        <v/>
      </c>
      <c r="J67" s="151" t="n"/>
      <c r="K67" s="86">
        <f>IF(H67&lt;&gt;0,H67/Resumen!$C$3,0)</f>
        <v/>
      </c>
      <c r="L67" s="152">
        <f>IF(F67&lt;&gt;0,F67/Resumen!$B$11,0)</f>
        <v/>
      </c>
      <c r="M67" s="96" t="inlineStr">
        <is>
          <t>2027-04-30</t>
        </is>
      </c>
      <c r="N67" s="96" t="n">
        <v>387</v>
      </c>
    </row>
    <row r="68" ht="15" customHeight="1" s="80">
      <c r="A68" s="90" t="inlineStr">
        <is>
          <t>T30J6</t>
        </is>
      </c>
      <c r="B68" s="85" t="inlineStr">
        <is>
          <t>Bono Cap Jun 2026</t>
        </is>
      </c>
      <c r="C68" s="86" t="n">
        <v>17684802</v>
      </c>
      <c r="D68" s="147" t="n">
        <v>1.38</v>
      </c>
      <c r="E68" s="148" t="n">
        <v>1.39</v>
      </c>
      <c r="F68" s="86">
        <f>C68*E68</f>
        <v/>
      </c>
      <c r="G68" s="86">
        <f>C68*D68</f>
        <v/>
      </c>
      <c r="H68" s="149">
        <f>F68-G68</f>
        <v/>
      </c>
      <c r="I68" s="150">
        <f>IF(G68&gt;0,(F68-G68)/G68,0)</f>
        <v/>
      </c>
      <c r="J68" s="151" t="n"/>
      <c r="K68" s="86">
        <f>IF(H68&lt;&gt;0,H68/Resumen!$C$3,0)</f>
        <v/>
      </c>
      <c r="L68" s="152">
        <f>IF(F68&lt;&gt;0,F68/Resumen!$B$11,0)</f>
        <v/>
      </c>
      <c r="M68" s="96" t="inlineStr">
        <is>
          <t>2026-06-30</t>
        </is>
      </c>
      <c r="N68" s="96" t="n">
        <v>83</v>
      </c>
    </row>
    <row r="69" ht="15" customHeight="1" s="80">
      <c r="A69" s="90" t="inlineStr">
        <is>
          <t>T30J7</t>
        </is>
      </c>
      <c r="B69" s="85" t="inlineStr">
        <is>
          <t>Bono Cap Jun 2027</t>
        </is>
      </c>
      <c r="C69" s="86" t="n">
        <v>19330596</v>
      </c>
      <c r="D69" s="147" t="n">
        <v>1.14</v>
      </c>
      <c r="E69" s="148" t="n">
        <v>1.18</v>
      </c>
      <c r="F69" s="86">
        <f>C69*E69</f>
        <v/>
      </c>
      <c r="G69" s="86">
        <f>C69*D69</f>
        <v/>
      </c>
      <c r="H69" s="149">
        <f>F69-G69</f>
        <v/>
      </c>
      <c r="I69" s="150">
        <f>IF(G69&gt;0,(F69-G69)/G69,0)</f>
        <v/>
      </c>
      <c r="J69" s="151" t="n"/>
      <c r="K69" s="86">
        <f>IF(H69&lt;&gt;0,H69/Resumen!$C$3,0)</f>
        <v/>
      </c>
      <c r="L69" s="152">
        <f>IF(F69&lt;&gt;0,F69/Resumen!$B$11,0)</f>
        <v/>
      </c>
      <c r="M69" s="96" t="inlineStr">
        <is>
          <t>2027-06-30</t>
        </is>
      </c>
      <c r="N69" s="96" t="n">
        <v>448</v>
      </c>
    </row>
    <row r="70" ht="15" customHeight="1" s="80">
      <c r="A70" s="90" t="inlineStr">
        <is>
          <t>T31Y7</t>
        </is>
      </c>
      <c r="B70" s="85" t="inlineStr">
        <is>
          <t>Bono Cap May 2027</t>
        </is>
      </c>
      <c r="C70" s="86" t="n">
        <v>20309050</v>
      </c>
      <c r="D70" s="147" t="n">
        <v>1.13</v>
      </c>
      <c r="E70" s="148" t="n">
        <v>1.16</v>
      </c>
      <c r="F70" s="86">
        <f>C70*E70</f>
        <v/>
      </c>
      <c r="G70" s="86">
        <f>C70*D70</f>
        <v/>
      </c>
      <c r="H70" s="149">
        <f>F70-G70</f>
        <v/>
      </c>
      <c r="I70" s="150">
        <f>IF(G70&gt;0,(F70-G70)/G70,0)</f>
        <v/>
      </c>
      <c r="J70" s="151" t="n"/>
      <c r="K70" s="86">
        <f>IF(H70&lt;&gt;0,H70/Resumen!$C$3,0)</f>
        <v/>
      </c>
      <c r="L70" s="152">
        <f>IF(F70&lt;&gt;0,F70/Resumen!$B$11,0)</f>
        <v/>
      </c>
      <c r="M70" s="96" t="inlineStr">
        <is>
          <t>2027-05-31</t>
        </is>
      </c>
      <c r="N70" s="96" t="n">
        <v>418</v>
      </c>
    </row>
    <row r="71" ht="15" customHeight="1" s="80">
      <c r="A71" s="90" t="inlineStr">
        <is>
          <t>TO26</t>
        </is>
      </c>
      <c r="B71" s="85" t="inlineStr">
        <is>
          <t>Bono ARS Oct 2026</t>
        </is>
      </c>
      <c r="C71" s="86" t="n">
        <v>22526934</v>
      </c>
      <c r="D71" s="147" t="n">
        <v>0.9399999999999999</v>
      </c>
      <c r="E71" s="148" t="n">
        <v>0.96</v>
      </c>
      <c r="F71" s="86">
        <f>C71*E71</f>
        <v/>
      </c>
      <c r="G71" s="86">
        <f>C71*D71</f>
        <v/>
      </c>
      <c r="H71" s="149">
        <f>F71-G71</f>
        <v/>
      </c>
      <c r="I71" s="150">
        <f>IF(G71&gt;0,(F71-G71)/G71,0)</f>
        <v/>
      </c>
      <c r="J71" s="151" t="n"/>
      <c r="K71" s="86">
        <f>IF(H71&lt;&gt;0,H71/Resumen!$C$3,0)</f>
        <v/>
      </c>
      <c r="L71" s="152">
        <f>IF(F71&lt;&gt;0,F71/Resumen!$B$11,0)</f>
        <v/>
      </c>
      <c r="M71" s="96" t="inlineStr">
        <is>
          <t>2026-10-17</t>
        </is>
      </c>
      <c r="N71" s="96" t="n">
        <v>192</v>
      </c>
    </row>
    <row r="72" ht="15" customHeight="1" s="80">
      <c r="A72" s="105" t="inlineStr">
        <is>
          <t>SUBTOTAL</t>
        </is>
      </c>
      <c r="B72" s="106" t="n"/>
      <c r="C72" s="106" t="n"/>
      <c r="D72" s="106" t="n"/>
      <c r="E72" s="106" t="n"/>
      <c r="F72" s="153">
        <f>SUM(F47:F71)</f>
        <v/>
      </c>
      <c r="G72" s="153">
        <f>SUM(G47:G71)</f>
        <v/>
      </c>
      <c r="H72" s="153">
        <f>F72-G72</f>
        <v/>
      </c>
      <c r="I72" s="154">
        <f>IF(G72&gt;0,(F72-G72)/G72,0)</f>
        <v/>
      </c>
      <c r="J72" s="106" t="n"/>
      <c r="K72" s="153">
        <f>SUM(K47:K71)</f>
        <v/>
      </c>
      <c r="L72" s="154">
        <f>SUM(L47:L71)</f>
        <v/>
      </c>
      <c r="M72" s="106" t="n"/>
      <c r="N72" s="106" t="n"/>
    </row>
    <row r="73" ht="15" customHeight="1" s="80">
      <c r="A73" s="90" t="n"/>
      <c r="B73" s="85" t="n"/>
      <c r="C73" s="86" t="n"/>
      <c r="D73" s="147" t="n"/>
      <c r="E73" s="155" t="n"/>
      <c r="F73" s="86" t="n"/>
      <c r="G73" s="86" t="n"/>
      <c r="H73" s="149" t="n"/>
      <c r="I73" s="150" t="n"/>
      <c r="J73" s="151" t="n"/>
      <c r="K73" s="86" t="n"/>
      <c r="L73" s="152" t="n"/>
      <c r="M73" s="96" t="n"/>
      <c r="N73" s="86" t="n"/>
    </row>
    <row r="74" ht="15" customHeight="1" s="80">
      <c r="A74" s="83" t="inlineStr">
        <is>
          <t>ONs / CORPORATIVOS</t>
        </is>
      </c>
      <c r="B74" s="85" t="n"/>
      <c r="C74" s="86" t="n"/>
      <c r="D74" s="147" t="n"/>
      <c r="E74" s="155" t="n"/>
      <c r="F74" s="86" t="n"/>
      <c r="G74" s="86" t="n"/>
      <c r="H74" s="149" t="n"/>
      <c r="I74" s="150" t="n"/>
      <c r="J74" s="151" t="n"/>
      <c r="K74" s="86" t="n"/>
      <c r="L74" s="152" t="n"/>
      <c r="M74" s="96" t="n"/>
      <c r="N74" s="86" t="n"/>
    </row>
    <row r="75" ht="15" customHeight="1" s="80">
      <c r="A75" s="136" t="inlineStr">
        <is>
          <t>Ticker</t>
        </is>
      </c>
      <c r="B75" s="136" t="inlineStr">
        <is>
          <t>Descripción</t>
        </is>
      </c>
      <c r="C75" s="136" t="inlineStr">
        <is>
          <t>Cantidad</t>
        </is>
      </c>
      <c r="D75" s="136" t="inlineStr">
        <is>
          <t>PPC Compra</t>
        </is>
      </c>
      <c r="E75" s="136" t="inlineStr">
        <is>
          <t>Precio Vivo</t>
        </is>
      </c>
      <c r="F75" s="136" t="inlineStr">
        <is>
          <t>Valor Actual</t>
        </is>
      </c>
      <c r="G75" s="136" t="inlineStr">
        <is>
          <t>Costo Total</t>
        </is>
      </c>
      <c r="H75" s="136" t="inlineStr">
        <is>
          <t>P&amp;L $</t>
        </is>
      </c>
      <c r="I75" s="136" t="inlineStr">
        <is>
          <t>P&amp;L %</t>
        </is>
      </c>
      <c r="J75" s="136" t="inlineStr">
        <is>
          <t>Var Día %</t>
        </is>
      </c>
      <c r="K75" s="136" t="inlineStr">
        <is>
          <t>P&amp;L USD</t>
        </is>
      </c>
      <c r="L75" s="136" t="inlineStr">
        <is>
          <t>Peso %</t>
        </is>
      </c>
      <c r="M75" s="136" t="inlineStr">
        <is>
          <t>Vencimiento</t>
        </is>
      </c>
      <c r="N75" s="136" t="inlineStr">
        <is>
          <t>Días</t>
        </is>
      </c>
    </row>
    <row r="76" ht="15" customHeight="1" s="80">
      <c r="A76" s="90" t="inlineStr">
        <is>
          <t>IRCFO</t>
        </is>
      </c>
      <c r="B76" s="85" t="inlineStr">
        <is>
          <t>IRSA 8.75% 2028</t>
        </is>
      </c>
      <c r="C76" s="86" t="n">
        <v>23042</v>
      </c>
      <c r="D76" s="147" t="n">
        <v>831.9299999999999</v>
      </c>
      <c r="E76" s="148" t="n">
        <v>1007.2</v>
      </c>
      <c r="F76" s="86">
        <f>C76*E76</f>
        <v/>
      </c>
      <c r="G76" s="86">
        <f>C76*D76</f>
        <v/>
      </c>
      <c r="H76" s="149">
        <f>F76-G76</f>
        <v/>
      </c>
      <c r="I76" s="150">
        <f>IF(G76&gt;0,(F76-G76)/G76,0)</f>
        <v/>
      </c>
      <c r="J76" s="151" t="n"/>
      <c r="K76" s="86">
        <f>IF(H76&lt;&gt;0,H76/Resumen!$C$3,0)</f>
        <v/>
      </c>
      <c r="L76" s="152">
        <f>IF(F76&lt;&gt;0,F76/Resumen!$B$11,0)</f>
        <v/>
      </c>
      <c r="M76" s="96" t="inlineStr">
        <is>
          <t>2028-06-22</t>
        </is>
      </c>
      <c r="N76" s="96" t="n">
        <v>806</v>
      </c>
    </row>
    <row r="77" ht="15" customHeight="1" s="80">
      <c r="A77" s="90" t="inlineStr">
        <is>
          <t>IRCPO</t>
        </is>
      </c>
      <c r="B77" s="85" t="inlineStr">
        <is>
          <t>IRSA Inv 8% 2035</t>
        </is>
      </c>
      <c r="C77" s="86" t="n">
        <v>42841</v>
      </c>
      <c r="D77" s="147" t="n">
        <v>1413.09</v>
      </c>
      <c r="E77" s="148" t="n">
        <v>1557.4</v>
      </c>
      <c r="F77" s="86">
        <f>C77*E77</f>
        <v/>
      </c>
      <c r="G77" s="86">
        <f>C77*D77</f>
        <v/>
      </c>
      <c r="H77" s="149">
        <f>F77-G77</f>
        <v/>
      </c>
      <c r="I77" s="150">
        <f>IF(G77&gt;0,(F77-G77)/G77,0)</f>
        <v/>
      </c>
      <c r="J77" s="151" t="n"/>
      <c r="K77" s="86">
        <f>IF(H77&lt;&gt;0,H77/Resumen!$C$3,0)</f>
        <v/>
      </c>
      <c r="L77" s="152">
        <f>IF(F77&lt;&gt;0,F77/Resumen!$B$11,0)</f>
        <v/>
      </c>
      <c r="M77" s="96" t="inlineStr">
        <is>
          <t>2035-03-31</t>
        </is>
      </c>
      <c r="N77" s="96" t="n">
        <v>3279</v>
      </c>
    </row>
    <row r="78" ht="15" customHeight="1" s="80">
      <c r="A78" s="90" t="inlineStr">
        <is>
          <t>PLC4O</t>
        </is>
      </c>
      <c r="B78" s="85" t="inlineStr">
        <is>
          <t>Pluspetrol 8.5% 2032</t>
        </is>
      </c>
      <c r="C78" s="86" t="n">
        <v>12000</v>
      </c>
      <c r="D78" s="147" t="n">
        <v>1498.85</v>
      </c>
      <c r="E78" s="148" t="n">
        <v>1592</v>
      </c>
      <c r="F78" s="86">
        <f>C78*E78</f>
        <v/>
      </c>
      <c r="G78" s="86">
        <f>C78*D78</f>
        <v/>
      </c>
      <c r="H78" s="149">
        <f>F78-G78</f>
        <v/>
      </c>
      <c r="I78" s="150">
        <f>IF(G78&gt;0,(F78-G78)/G78,0)</f>
        <v/>
      </c>
      <c r="J78" s="151" t="n"/>
      <c r="K78" s="86">
        <f>IF(H78&lt;&gt;0,H78/Resumen!$C$3,0)</f>
        <v/>
      </c>
      <c r="L78" s="152">
        <f>IF(F78&lt;&gt;0,F78/Resumen!$B$11,0)</f>
        <v/>
      </c>
      <c r="M78" s="96" t="inlineStr">
        <is>
          <t>2032-05-29</t>
        </is>
      </c>
      <c r="N78" s="96" t="n">
        <v>2243</v>
      </c>
    </row>
    <row r="79" ht="15" customHeight="1" s="80">
      <c r="A79" s="90" t="inlineStr">
        <is>
          <t>TLCPO</t>
        </is>
      </c>
      <c r="B79" s="85" t="inlineStr">
        <is>
          <t>Telecom 9.25% 2033</t>
        </is>
      </c>
      <c r="C79" s="86" t="n">
        <v>35602</v>
      </c>
      <c r="D79" s="147" t="n">
        <v>1617.94</v>
      </c>
      <c r="E79" s="148" t="n">
        <v>1630.3</v>
      </c>
      <c r="F79" s="86">
        <f>C79*E79</f>
        <v/>
      </c>
      <c r="G79" s="86">
        <f>C79*D79</f>
        <v/>
      </c>
      <c r="H79" s="149">
        <f>F79-G79</f>
        <v/>
      </c>
      <c r="I79" s="150">
        <f>IF(G79&gt;0,(F79-G79)/G79,0)</f>
        <v/>
      </c>
      <c r="J79" s="151" t="n"/>
      <c r="K79" s="86">
        <f>IF(H79&lt;&gt;0,H79/Resumen!$C$3,0)</f>
        <v/>
      </c>
      <c r="L79" s="152">
        <f>IF(F79&lt;&gt;0,F79/Resumen!$B$11,0)</f>
        <v/>
      </c>
      <c r="M79" s="96" t="inlineStr">
        <is>
          <t>2033-05-28</t>
        </is>
      </c>
      <c r="N79" s="96" t="n">
        <v>2607</v>
      </c>
    </row>
    <row r="80" ht="15" customHeight="1" s="80">
      <c r="A80" s="90" t="inlineStr">
        <is>
          <t>VSCVO</t>
        </is>
      </c>
      <c r="B80" s="85" t="inlineStr">
        <is>
          <t>Vista 8.5% 2033</t>
        </is>
      </c>
      <c r="C80" s="86" t="n">
        <v>9000</v>
      </c>
      <c r="D80" s="147" t="n">
        <v>1537.87</v>
      </c>
      <c r="E80" s="148" t="n">
        <v>1616.1</v>
      </c>
      <c r="F80" s="86">
        <f>C80*E80</f>
        <v/>
      </c>
      <c r="G80" s="86">
        <f>C80*D80</f>
        <v/>
      </c>
      <c r="H80" s="149">
        <f>F80-G80</f>
        <v/>
      </c>
      <c r="I80" s="150">
        <f>IF(G80&gt;0,(F80-G80)/G80,0)</f>
        <v/>
      </c>
      <c r="J80" s="151" t="n"/>
      <c r="K80" s="86">
        <f>IF(H80&lt;&gt;0,H80/Resumen!$C$3,0)</f>
        <v/>
      </c>
      <c r="L80" s="152">
        <f>IF(F80&lt;&gt;0,F80/Resumen!$B$11,0)</f>
        <v/>
      </c>
      <c r="M80" s="96" t="inlineStr">
        <is>
          <t>2033-06-10</t>
        </is>
      </c>
      <c r="N80" s="96" t="n">
        <v>2620</v>
      </c>
    </row>
    <row r="81" ht="15" customHeight="1" s="80">
      <c r="A81" s="90" t="inlineStr">
        <is>
          <t>YFCJO</t>
        </is>
      </c>
      <c r="B81" s="85" t="inlineStr">
        <is>
          <t>YPF Energía 7.875% 2032</t>
        </is>
      </c>
      <c r="C81" s="86" t="n">
        <v>10000</v>
      </c>
      <c r="D81" s="147" t="n">
        <v>1416.51</v>
      </c>
      <c r="E81" s="148" t="n">
        <v>1518</v>
      </c>
      <c r="F81" s="86">
        <f>C81*E81</f>
        <v/>
      </c>
      <c r="G81" s="86">
        <f>C81*D81</f>
        <v/>
      </c>
      <c r="H81" s="149">
        <f>F81-G81</f>
        <v/>
      </c>
      <c r="I81" s="150">
        <f>IF(G81&gt;0,(F81-G81)/G81,0)</f>
        <v/>
      </c>
      <c r="J81" s="151" t="n"/>
      <c r="K81" s="86">
        <f>IF(H81&lt;&gt;0,H81/Resumen!$C$3,0)</f>
        <v/>
      </c>
      <c r="L81" s="152">
        <f>IF(F81&lt;&gt;0,F81/Resumen!$B$11,0)</f>
        <v/>
      </c>
      <c r="M81" s="96" t="inlineStr">
        <is>
          <t>2032-10-16</t>
        </is>
      </c>
      <c r="N81" s="96" t="n">
        <v>2383</v>
      </c>
    </row>
    <row r="82" ht="15" customHeight="1" s="80">
      <c r="A82" s="90" t="inlineStr">
        <is>
          <t>YM34O</t>
        </is>
      </c>
      <c r="B82" s="85" t="inlineStr">
        <is>
          <t>YPF 8.25% 2034</t>
        </is>
      </c>
      <c r="C82" s="86" t="n">
        <v>75833</v>
      </c>
      <c r="D82" s="147" t="n">
        <v>1467.63</v>
      </c>
      <c r="E82" s="148" t="n">
        <v>1579.8</v>
      </c>
      <c r="F82" s="86">
        <f>C82*E82</f>
        <v/>
      </c>
      <c r="G82" s="86">
        <f>C82*D82</f>
        <v/>
      </c>
      <c r="H82" s="149">
        <f>F82-G82</f>
        <v/>
      </c>
      <c r="I82" s="150">
        <f>IF(G82&gt;0,(F82-G82)/G82,0)</f>
        <v/>
      </c>
      <c r="J82" s="151" t="n"/>
      <c r="K82" s="86">
        <f>IF(H82&lt;&gt;0,H82/Resumen!$C$3,0)</f>
        <v/>
      </c>
      <c r="L82" s="152">
        <f>IF(F82&lt;&gt;0,F82/Resumen!$B$11,0)</f>
        <v/>
      </c>
      <c r="M82" s="96" t="inlineStr">
        <is>
          <t>2034-01-17</t>
        </is>
      </c>
      <c r="N82" s="96" t="n">
        <v>2841</v>
      </c>
    </row>
    <row r="83" ht="15" customHeight="1" s="80">
      <c r="A83" s="90" t="inlineStr">
        <is>
          <t>YMCIO</t>
        </is>
      </c>
      <c r="B83" s="85" t="inlineStr">
        <is>
          <t>YPF 2.5% 2029</t>
        </is>
      </c>
      <c r="C83" s="86" t="n">
        <v>17899</v>
      </c>
      <c r="D83" s="147" t="n">
        <v>1118.28</v>
      </c>
      <c r="E83" s="148" t="n">
        <v>1565.5</v>
      </c>
      <c r="F83" s="86">
        <f>C83*E83</f>
        <v/>
      </c>
      <c r="G83" s="86">
        <f>C83*D83</f>
        <v/>
      </c>
      <c r="H83" s="149">
        <f>F83-G83</f>
        <v/>
      </c>
      <c r="I83" s="150">
        <f>IF(G83&gt;0,(F83-G83)/G83,0)</f>
        <v/>
      </c>
      <c r="J83" s="151" t="n"/>
      <c r="K83" s="86">
        <f>IF(H83&lt;&gt;0,H83/Resumen!$C$3,0)</f>
        <v/>
      </c>
      <c r="L83" s="152">
        <f>IF(F83&lt;&gt;0,F83/Resumen!$B$11,0)</f>
        <v/>
      </c>
      <c r="M83" s="96" t="inlineStr">
        <is>
          <t>2029-06-30</t>
        </is>
      </c>
      <c r="N83" s="96" t="n">
        <v>1179</v>
      </c>
    </row>
    <row r="84" ht="15" customHeight="1" s="80">
      <c r="A84" s="105" t="inlineStr">
        <is>
          <t>SUBTOTAL</t>
        </is>
      </c>
      <c r="B84" s="106" t="n"/>
      <c r="C84" s="106" t="n"/>
      <c r="D84" s="106" t="n"/>
      <c r="E84" s="106" t="n"/>
      <c r="F84" s="153">
        <f>SUM(F76:F83)</f>
        <v/>
      </c>
      <c r="G84" s="153">
        <f>SUM(G76:G83)</f>
        <v/>
      </c>
      <c r="H84" s="153">
        <f>F84-G84</f>
        <v/>
      </c>
      <c r="I84" s="154">
        <f>IF(G84&gt;0,(F84-G84)/G84,0)</f>
        <v/>
      </c>
      <c r="J84" s="106" t="n"/>
      <c r="K84" s="153">
        <f>SUM(K76:K83)</f>
        <v/>
      </c>
      <c r="L84" s="154">
        <f>SUM(L76:L83)</f>
        <v/>
      </c>
      <c r="M84" s="106" t="n"/>
      <c r="N84" s="106" t="n"/>
    </row>
    <row r="85" ht="15" customHeight="1" s="80">
      <c r="A85" s="90" t="n"/>
      <c r="B85" s="85" t="n"/>
      <c r="C85" s="86" t="n"/>
      <c r="D85" s="147" t="n"/>
      <c r="E85" s="155" t="n"/>
      <c r="F85" s="86" t="n"/>
      <c r="G85" s="86" t="n"/>
      <c r="H85" s="149" t="n"/>
      <c r="I85" s="150" t="n"/>
      <c r="J85" s="151" t="n"/>
      <c r="K85" s="86" t="n"/>
      <c r="L85" s="152" t="n"/>
      <c r="M85" s="96" t="n"/>
      <c r="N85" s="86" t="n"/>
    </row>
    <row r="86" ht="15" customHeight="1" s="80">
      <c r="A86" s="83" t="inlineStr">
        <is>
          <t>FCIs PESOS</t>
        </is>
      </c>
      <c r="B86" s="85" t="n"/>
      <c r="C86" s="86" t="n"/>
      <c r="D86" s="147" t="n"/>
      <c r="E86" s="155" t="n"/>
      <c r="F86" s="86" t="n"/>
      <c r="G86" s="86" t="n"/>
      <c r="H86" s="149" t="n"/>
      <c r="I86" s="150" t="n"/>
      <c r="J86" s="151" t="n"/>
      <c r="K86" s="86" t="n"/>
      <c r="L86" s="152" t="n"/>
      <c r="M86" s="96" t="n"/>
      <c r="N86" s="86" t="n"/>
    </row>
    <row r="87" ht="15" customHeight="1" s="80">
      <c r="A87" s="136" t="inlineStr">
        <is>
          <t>Ticker</t>
        </is>
      </c>
      <c r="B87" s="136" t="inlineStr">
        <is>
          <t>Descripción</t>
        </is>
      </c>
      <c r="C87" s="136" t="inlineStr">
        <is>
          <t>Cantidad</t>
        </is>
      </c>
      <c r="D87" s="136" t="inlineStr">
        <is>
          <t>PPC Compra</t>
        </is>
      </c>
      <c r="E87" s="136" t="inlineStr">
        <is>
          <t>Precio Vivo</t>
        </is>
      </c>
      <c r="F87" s="136" t="inlineStr">
        <is>
          <t>Valor Actual</t>
        </is>
      </c>
      <c r="G87" s="136" t="inlineStr">
        <is>
          <t>Costo Total</t>
        </is>
      </c>
      <c r="H87" s="136" t="inlineStr">
        <is>
          <t>P&amp;L $</t>
        </is>
      </c>
      <c r="I87" s="136" t="inlineStr">
        <is>
          <t>P&amp;L %</t>
        </is>
      </c>
      <c r="J87" s="136" t="inlineStr">
        <is>
          <t>Var Día %</t>
        </is>
      </c>
      <c r="K87" s="136" t="inlineStr">
        <is>
          <t>P&amp;L USD</t>
        </is>
      </c>
      <c r="L87" s="136" t="inlineStr">
        <is>
          <t>Peso %</t>
        </is>
      </c>
      <c r="M87" s="136" t="inlineStr">
        <is>
          <t>Vencimiento</t>
        </is>
      </c>
      <c r="N87" s="136" t="inlineStr">
        <is>
          <t>Días</t>
        </is>
      </c>
    </row>
    <row r="88" ht="15" customHeight="1" s="80">
      <c r="A88" s="90" t="inlineStr">
        <is>
          <t>BCAHA</t>
        </is>
      </c>
      <c r="B88" s="85" t="inlineStr">
        <is>
          <t>Ahorro CP</t>
        </is>
      </c>
      <c r="C88" s="86" t="n">
        <v>356022.16</v>
      </c>
      <c r="D88" s="147" t="n">
        <v>223.3</v>
      </c>
      <c r="E88" s="148" t="n">
        <v>227.48</v>
      </c>
      <c r="F88" s="86">
        <f>C88*E88</f>
        <v/>
      </c>
      <c r="G88" s="86">
        <f>C88*D88</f>
        <v/>
      </c>
      <c r="H88" s="149">
        <f>F88-G88</f>
        <v/>
      </c>
      <c r="I88" s="150">
        <f>IF(G88&gt;0,(F88-G88)/G88,0)</f>
        <v/>
      </c>
      <c r="J88" s="151" t="n"/>
      <c r="K88" s="86">
        <f>IF(H88&lt;&gt;0,H88/Resumen!$C$3,0)</f>
        <v/>
      </c>
      <c r="L88" s="152">
        <f>IF(F88&lt;&gt;0,F88/Resumen!$B$11,0)</f>
        <v/>
      </c>
      <c r="M88" s="96" t="n"/>
      <c r="N88" s="96" t="n"/>
    </row>
    <row r="89" ht="15" customHeight="1" s="80">
      <c r="A89" s="90" t="inlineStr">
        <is>
          <t>BCAPYB</t>
        </is>
      </c>
      <c r="B89" s="85" t="inlineStr">
        <is>
          <t>Capital Pymes</t>
        </is>
      </c>
      <c r="C89" s="86" t="n">
        <v>557800.86</v>
      </c>
      <c r="D89" s="147" t="n">
        <v>59.12</v>
      </c>
      <c r="E89" s="148" t="n">
        <v>68.97</v>
      </c>
      <c r="F89" s="86">
        <f>C89*E89</f>
        <v/>
      </c>
      <c r="G89" s="86">
        <f>C89*D89</f>
        <v/>
      </c>
      <c r="H89" s="149">
        <f>F89-G89</f>
        <v/>
      </c>
      <c r="I89" s="150">
        <f>IF(G89&gt;0,(F89-G89)/G89,0)</f>
        <v/>
      </c>
      <c r="J89" s="151" t="n"/>
      <c r="K89" s="86">
        <f>IF(H89&lt;&gt;0,H89/Resumen!$C$3,0)</f>
        <v/>
      </c>
      <c r="L89" s="152">
        <f>IF(F89&lt;&gt;0,F89/Resumen!$B$11,0)</f>
        <v/>
      </c>
      <c r="M89" s="96" t="n"/>
      <c r="N89" s="96" t="n"/>
    </row>
    <row r="90" ht="15" customHeight="1" s="80">
      <c r="A90" s="90" t="inlineStr">
        <is>
          <t>BCMMA</t>
        </is>
      </c>
      <c r="B90" s="85" t="inlineStr">
        <is>
          <t>Money Market</t>
        </is>
      </c>
      <c r="C90" s="86" t="n">
        <v>36262009.29</v>
      </c>
      <c r="D90" s="147" t="n">
        <v>11.11</v>
      </c>
      <c r="E90" s="148" t="n">
        <v>11.66</v>
      </c>
      <c r="F90" s="86">
        <f>C90*E90</f>
        <v/>
      </c>
      <c r="G90" s="86">
        <f>C90*D90</f>
        <v/>
      </c>
      <c r="H90" s="149">
        <f>F90-G90</f>
        <v/>
      </c>
      <c r="I90" s="150">
        <f>IF(G90&gt;0,(F90-G90)/G90,0)</f>
        <v/>
      </c>
      <c r="J90" s="151" t="n"/>
      <c r="K90" s="86">
        <f>IF(H90&lt;&gt;0,H90/Resumen!$C$3,0)</f>
        <v/>
      </c>
      <c r="L90" s="152">
        <f>IF(F90&lt;&gt;0,F90/Resumen!$B$11,0)</f>
        <v/>
      </c>
      <c r="M90" s="96" t="n"/>
      <c r="N90" s="96" t="n"/>
    </row>
    <row r="91" ht="15" customHeight="1" s="80">
      <c r="A91" s="90" t="inlineStr">
        <is>
          <t>BCRFA</t>
        </is>
      </c>
      <c r="B91" s="85" t="inlineStr">
        <is>
          <t>Dólar Linked</t>
        </is>
      </c>
      <c r="C91" s="86" t="n">
        <v>217256.11</v>
      </c>
      <c r="D91" s="147" t="n">
        <v>222.64</v>
      </c>
      <c r="E91" s="148" t="n">
        <v>219.69</v>
      </c>
      <c r="F91" s="86">
        <f>C91*E91</f>
        <v/>
      </c>
      <c r="G91" s="86">
        <f>C91*D91</f>
        <v/>
      </c>
      <c r="H91" s="149">
        <f>F91-G91</f>
        <v/>
      </c>
      <c r="I91" s="150">
        <f>IF(G91&gt;0,(F91-G91)/G91,0)</f>
        <v/>
      </c>
      <c r="J91" s="151" t="n"/>
      <c r="K91" s="86">
        <f>IF(H91&lt;&gt;0,H91/Resumen!$C$3,0)</f>
        <v/>
      </c>
      <c r="L91" s="152">
        <f>IF(F91&lt;&gt;0,F91/Resumen!$B$11,0)</f>
        <v/>
      </c>
      <c r="M91" s="96" t="n"/>
      <c r="N91" s="96" t="n"/>
    </row>
    <row r="92" ht="15" customHeight="1" s="80">
      <c r="A92" s="90" t="inlineStr">
        <is>
          <t>INSTITUA</t>
        </is>
      </c>
      <c r="B92" s="85" t="inlineStr">
        <is>
          <t>Inflation Linked</t>
        </is>
      </c>
      <c r="C92" s="86" t="n">
        <v>695624.1800000001</v>
      </c>
      <c r="D92" s="147" t="n">
        <v>109.47</v>
      </c>
      <c r="E92" s="148" t="n">
        <v>112.69</v>
      </c>
      <c r="F92" s="86">
        <f>C92*E92</f>
        <v/>
      </c>
      <c r="G92" s="86">
        <f>C92*D92</f>
        <v/>
      </c>
      <c r="H92" s="149">
        <f>F92-G92</f>
        <v/>
      </c>
      <c r="I92" s="150">
        <f>IF(G92&gt;0,(F92-G92)/G92,0)</f>
        <v/>
      </c>
      <c r="J92" s="151" t="n"/>
      <c r="K92" s="86">
        <f>IF(H92&lt;&gt;0,H92/Resumen!$C$3,0)</f>
        <v/>
      </c>
      <c r="L92" s="152">
        <f>IF(F92&lt;&gt;0,F92/Resumen!$B$11,0)</f>
        <v/>
      </c>
      <c r="M92" s="96" t="n"/>
      <c r="N92" s="96" t="n"/>
    </row>
    <row r="93" ht="15" customHeight="1" s="80">
      <c r="A93" s="90" t="inlineStr">
        <is>
          <t>LECAPSA</t>
        </is>
      </c>
      <c r="B93" s="85" t="inlineStr">
        <is>
          <t>Lecaps</t>
        </is>
      </c>
      <c r="C93" s="86" t="n">
        <v>246468689.68</v>
      </c>
      <c r="D93" s="147" t="n">
        <v>1.85</v>
      </c>
      <c r="E93" s="148" t="n">
        <v>1.96</v>
      </c>
      <c r="F93" s="86">
        <f>C93*E93</f>
        <v/>
      </c>
      <c r="G93" s="86">
        <f>C93*D93</f>
        <v/>
      </c>
      <c r="H93" s="149">
        <f>F93-G93</f>
        <v/>
      </c>
      <c r="I93" s="150">
        <f>IF(G93&gt;0,(F93-G93)/G93,0)</f>
        <v/>
      </c>
      <c r="J93" s="151" t="n"/>
      <c r="K93" s="86">
        <f>IF(H93&lt;&gt;0,H93/Resumen!$C$3,0)</f>
        <v/>
      </c>
      <c r="L93" s="152">
        <f>IF(F93&lt;&gt;0,F93/Resumen!$B$11,0)</f>
        <v/>
      </c>
      <c r="M93" s="96" t="n"/>
      <c r="N93" s="96" t="n"/>
    </row>
    <row r="94" ht="15" customHeight="1" s="80">
      <c r="A94" s="90" t="inlineStr">
        <is>
          <t>LONGPesosA</t>
        </is>
      </c>
      <c r="B94" s="85" t="inlineStr">
        <is>
          <t>Long Pesos</t>
        </is>
      </c>
      <c r="C94" s="86" t="n">
        <v>93879018.77</v>
      </c>
      <c r="D94" s="147" t="n">
        <v>1.73</v>
      </c>
      <c r="E94" s="148" t="n">
        <v>2.07</v>
      </c>
      <c r="F94" s="86">
        <f>C94*E94</f>
        <v/>
      </c>
      <c r="G94" s="86">
        <f>C94*D94</f>
        <v/>
      </c>
      <c r="H94" s="149">
        <f>F94-G94</f>
        <v/>
      </c>
      <c r="I94" s="150">
        <f>IF(G94&gt;0,(F94-G94)/G94,0)</f>
        <v/>
      </c>
      <c r="J94" s="151" t="n"/>
      <c r="K94" s="86">
        <f>IF(H94&lt;&gt;0,H94/Resumen!$C$3,0)</f>
        <v/>
      </c>
      <c r="L94" s="152">
        <f>IF(F94&lt;&gt;0,F94/Resumen!$B$11,0)</f>
        <v/>
      </c>
      <c r="M94" s="96" t="n"/>
      <c r="N94" s="96" t="n"/>
    </row>
    <row r="95" ht="15" customHeight="1" s="80">
      <c r="A95" s="90" t="inlineStr">
        <is>
          <t>OPPORA</t>
        </is>
      </c>
      <c r="B95" s="85" t="inlineStr">
        <is>
          <t>Opportunity</t>
        </is>
      </c>
      <c r="C95" s="86" t="n">
        <v>1828334.58</v>
      </c>
      <c r="D95" s="147" t="n">
        <v>38.19</v>
      </c>
      <c r="E95" s="148" t="n">
        <v>38.93</v>
      </c>
      <c r="F95" s="86">
        <f>C95*E95</f>
        <v/>
      </c>
      <c r="G95" s="86">
        <f>C95*D95</f>
        <v/>
      </c>
      <c r="H95" s="149">
        <f>F95-G95</f>
        <v/>
      </c>
      <c r="I95" s="150">
        <f>IF(G95&gt;0,(F95-G95)/G95,0)</f>
        <v/>
      </c>
      <c r="J95" s="151" t="n"/>
      <c r="K95" s="86">
        <f>IF(H95&lt;&gt;0,H95/Resumen!$C$3,0)</f>
        <v/>
      </c>
      <c r="L95" s="152">
        <f>IF(F95&lt;&gt;0,F95/Resumen!$B$11,0)</f>
        <v/>
      </c>
      <c r="M95" s="96" t="n"/>
      <c r="N95" s="96" t="n"/>
    </row>
    <row r="96" ht="15" customHeight="1" s="80">
      <c r="A96" s="90" t="inlineStr">
        <is>
          <t>PER3A</t>
        </is>
      </c>
      <c r="B96" s="85" t="inlineStr">
        <is>
          <t>ONs FCI</t>
        </is>
      </c>
      <c r="C96" s="86" t="n">
        <v>2890224.75</v>
      </c>
      <c r="D96" s="147" t="n">
        <v>9</v>
      </c>
      <c r="E96" s="148" t="n">
        <v>9.19</v>
      </c>
      <c r="F96" s="86">
        <f>C96*E96</f>
        <v/>
      </c>
      <c r="G96" s="86">
        <f>C96*D96</f>
        <v/>
      </c>
      <c r="H96" s="149">
        <f>F96-G96</f>
        <v/>
      </c>
      <c r="I96" s="150">
        <f>IF(G96&gt;0,(F96-G96)/G96,0)</f>
        <v/>
      </c>
      <c r="J96" s="151" t="n"/>
      <c r="K96" s="86">
        <f>IF(H96&lt;&gt;0,H96/Resumen!$C$3,0)</f>
        <v/>
      </c>
      <c r="L96" s="152">
        <f>IF(F96&lt;&gt;0,F96/Resumen!$B$11,0)</f>
        <v/>
      </c>
      <c r="M96" s="96" t="n"/>
      <c r="N96" s="96" t="n"/>
    </row>
    <row r="97" ht="15" customHeight="1" s="80">
      <c r="A97" s="90" t="inlineStr">
        <is>
          <t>SOJAA</t>
        </is>
      </c>
      <c r="B97" s="85" t="inlineStr">
        <is>
          <t>Soja</t>
        </is>
      </c>
      <c r="C97" s="86" t="n">
        <v>46524024.68</v>
      </c>
      <c r="D97" s="147" t="n">
        <v>1.69</v>
      </c>
      <c r="E97" s="148" t="n">
        <v>1.61</v>
      </c>
      <c r="F97" s="86">
        <f>C97*E97</f>
        <v/>
      </c>
      <c r="G97" s="86">
        <f>C97*D97</f>
        <v/>
      </c>
      <c r="H97" s="149">
        <f>F97-G97</f>
        <v/>
      </c>
      <c r="I97" s="150">
        <f>IF(G97&gt;0,(F97-G97)/G97,0)</f>
        <v/>
      </c>
      <c r="J97" s="151" t="n"/>
      <c r="K97" s="86">
        <f>IF(H97&lt;&gt;0,H97/Resumen!$C$3,0)</f>
        <v/>
      </c>
      <c r="L97" s="152">
        <f>IF(F97&lt;&gt;0,F97/Resumen!$B$11,0)</f>
        <v/>
      </c>
      <c r="M97" s="96" t="n"/>
      <c r="N97" s="96" t="n"/>
    </row>
    <row r="98" ht="15" customHeight="1" s="80">
      <c r="A98" s="90" t="inlineStr">
        <is>
          <t>CPRIVADOA</t>
        </is>
      </c>
      <c r="B98" s="85" t="inlineStr">
        <is>
          <t>Crédito Privado</t>
        </is>
      </c>
      <c r="C98" s="86" t="n">
        <v>21848517.38</v>
      </c>
      <c r="D98" s="147" t="n">
        <v>1.32</v>
      </c>
      <c r="E98" s="148" t="n">
        <v>1.34</v>
      </c>
      <c r="F98" s="86">
        <f>C98*E98</f>
        <v/>
      </c>
      <c r="G98" s="86">
        <f>C98*D98</f>
        <v/>
      </c>
      <c r="H98" s="149">
        <f>F98-G98</f>
        <v/>
      </c>
      <c r="I98" s="150">
        <f>IF(G98&gt;0,(F98-G98)/G98,0)</f>
        <v/>
      </c>
      <c r="J98" s="151" t="n"/>
      <c r="K98" s="86">
        <f>IF(H98&lt;&gt;0,H98/Resumen!$C$3,0)</f>
        <v/>
      </c>
      <c r="L98" s="152">
        <f>IF(F98&lt;&gt;0,F98/Resumen!$B$11,0)</f>
        <v/>
      </c>
      <c r="M98" s="96" t="n"/>
      <c r="N98" s="96" t="n"/>
    </row>
    <row r="99" ht="15" customHeight="1" s="80">
      <c r="A99" s="105" t="inlineStr">
        <is>
          <t>SUBTOTAL</t>
        </is>
      </c>
      <c r="B99" s="106" t="n"/>
      <c r="C99" s="106" t="n"/>
      <c r="D99" s="106" t="n"/>
      <c r="E99" s="106" t="n"/>
      <c r="F99" s="153">
        <f>SUM(F88:F98)</f>
        <v/>
      </c>
      <c r="G99" s="153">
        <f>SUM(G88:G98)</f>
        <v/>
      </c>
      <c r="H99" s="153">
        <f>F99-G99</f>
        <v/>
      </c>
      <c r="I99" s="154">
        <f>IF(G99&gt;0,(F99-G99)/G99,0)</f>
        <v/>
      </c>
      <c r="J99" s="106" t="n"/>
      <c r="K99" s="153">
        <f>SUM(K88:K98)</f>
        <v/>
      </c>
      <c r="L99" s="154">
        <f>SUM(L88:L98)</f>
        <v/>
      </c>
      <c r="M99" s="106" t="n"/>
      <c r="N99" s="106" t="n"/>
    </row>
    <row r="100" ht="15" customHeight="1" s="80">
      <c r="A100" s="90" t="n"/>
      <c r="B100" s="85" t="n"/>
      <c r="C100" s="156" t="n"/>
      <c r="D100" s="147" t="n"/>
      <c r="E100" s="155" t="n"/>
      <c r="F100" s="86" t="n"/>
      <c r="G100" s="86" t="n"/>
      <c r="H100" s="149" t="n"/>
      <c r="I100" s="150" t="n"/>
      <c r="J100" s="151" t="n"/>
      <c r="K100" s="86" t="n"/>
      <c r="L100" s="152" t="n"/>
      <c r="M100" s="96" t="n"/>
      <c r="N100" s="96" t="n"/>
    </row>
    <row r="101" ht="15" customHeight="1" s="80">
      <c r="A101" s="83" t="inlineStr">
        <is>
          <t>FCIs USD (en USD)</t>
        </is>
      </c>
      <c r="B101" s="85" t="n"/>
      <c r="C101" s="156" t="n"/>
      <c r="D101" s="147" t="n"/>
      <c r="E101" s="155" t="n"/>
      <c r="F101" s="86" t="n"/>
      <c r="G101" s="86" t="n"/>
      <c r="H101" s="149" t="n"/>
      <c r="I101" s="150" t="n"/>
      <c r="J101" s="151" t="n"/>
      <c r="K101" s="86" t="n"/>
      <c r="L101" s="152" t="n"/>
      <c r="M101" s="96" t="n"/>
      <c r="N101" s="96" t="n"/>
    </row>
    <row r="102" ht="15" customHeight="1" s="80">
      <c r="A102" s="136" t="inlineStr">
        <is>
          <t>Ticker</t>
        </is>
      </c>
      <c r="B102" s="136" t="inlineStr">
        <is>
          <t>Descripción</t>
        </is>
      </c>
      <c r="C102" s="136" t="inlineStr">
        <is>
          <t>Cantidad</t>
        </is>
      </c>
      <c r="D102" s="136" t="inlineStr">
        <is>
          <t>PPC Compra</t>
        </is>
      </c>
      <c r="E102" s="136" t="inlineStr">
        <is>
          <t>Precio Vivo</t>
        </is>
      </c>
      <c r="F102" s="136" t="inlineStr">
        <is>
          <t>Valor Actual</t>
        </is>
      </c>
      <c r="G102" s="136" t="inlineStr">
        <is>
          <t>Costo Total</t>
        </is>
      </c>
      <c r="H102" s="136" t="inlineStr">
        <is>
          <t>P&amp;L $</t>
        </is>
      </c>
      <c r="I102" s="136" t="inlineStr">
        <is>
          <t>P&amp;L %</t>
        </is>
      </c>
      <c r="J102" s="136" t="inlineStr">
        <is>
          <t>Var Día %</t>
        </is>
      </c>
      <c r="K102" s="136" t="inlineStr">
        <is>
          <t>P&amp;L USD</t>
        </is>
      </c>
      <c r="L102" s="136" t="inlineStr">
        <is>
          <t>Peso %</t>
        </is>
      </c>
      <c r="M102" s="136" t="inlineStr">
        <is>
          <t>Vencimiento</t>
        </is>
      </c>
      <c r="N102" s="136" t="inlineStr">
        <is>
          <t>Días</t>
        </is>
      </c>
    </row>
    <row r="103" ht="15" customHeight="1" s="80">
      <c r="A103" s="90" t="inlineStr">
        <is>
          <t>ESTRA1A</t>
        </is>
      </c>
      <c r="B103" s="85" t="inlineStr">
        <is>
          <t>Dólar Corto Plazo</t>
        </is>
      </c>
      <c r="C103" s="86" t="n">
        <v>186979.26</v>
      </c>
      <c r="D103" s="147" t="n">
        <v>1.14</v>
      </c>
      <c r="E103" s="148" t="n">
        <v>1.15</v>
      </c>
      <c r="F103" s="86">
        <f>C103*E103</f>
        <v/>
      </c>
      <c r="G103" s="86">
        <f>C103*D103</f>
        <v/>
      </c>
      <c r="H103" s="149">
        <f>F103-G103</f>
        <v/>
      </c>
      <c r="I103" s="150">
        <f>IF(G103&gt;0,(F103-G103)/G103,0)</f>
        <v/>
      </c>
      <c r="J103" s="151" t="n"/>
      <c r="K103" s="86">
        <f>IF(H103&lt;&gt;0,H103/Resumen!$C$3,0)</f>
        <v/>
      </c>
      <c r="L103" s="152">
        <f>IF(F103&lt;&gt;0,F103/Resumen!$B$11,0)</f>
        <v/>
      </c>
      <c r="M103" s="96" t="n"/>
      <c r="N103" s="96" t="n"/>
    </row>
    <row r="104" ht="15" customHeight="1" s="80">
      <c r="A104" s="90" t="inlineStr">
        <is>
          <t>BCMMUSDA</t>
        </is>
      </c>
      <c r="B104" s="85" t="inlineStr">
        <is>
          <t>Money Market USD</t>
        </is>
      </c>
      <c r="C104" s="86" t="n">
        <v>120192.21</v>
      </c>
      <c r="D104" s="147" t="n">
        <v>1.02</v>
      </c>
      <c r="E104" s="148" t="n">
        <v>1.02</v>
      </c>
      <c r="F104" s="86">
        <f>C104*E104</f>
        <v/>
      </c>
      <c r="G104" s="86">
        <f>C104*D104</f>
        <v/>
      </c>
      <c r="H104" s="149">
        <f>F104-G104</f>
        <v/>
      </c>
      <c r="I104" s="150">
        <f>IF(G104&gt;0,(F104-G104)/G104,0)</f>
        <v/>
      </c>
      <c r="J104" s="151" t="n"/>
      <c r="K104" s="86">
        <f>IF(H104&lt;&gt;0,H104/Resumen!$C$3,0)</f>
        <v/>
      </c>
      <c r="L104" s="152">
        <f>IF(F104&lt;&gt;0,F104/Resumen!$B$11,0)</f>
        <v/>
      </c>
      <c r="M104" s="96" t="n"/>
      <c r="N104" s="96" t="n"/>
    </row>
    <row r="105" ht="15" customHeight="1" s="80">
      <c r="A105" s="90" t="inlineStr">
        <is>
          <t>BAHUSDA</t>
        </is>
      </c>
      <c r="B105" s="85" t="inlineStr">
        <is>
          <t>Corporativo USD</t>
        </is>
      </c>
      <c r="C105" s="86" t="n">
        <v>132699.06</v>
      </c>
      <c r="D105" s="147" t="n">
        <v>1.36</v>
      </c>
      <c r="E105" s="148" t="n">
        <v>1.4</v>
      </c>
      <c r="F105" s="86">
        <f>C105*E105</f>
        <v/>
      </c>
      <c r="G105" s="86">
        <f>C105*D105</f>
        <v/>
      </c>
      <c r="H105" s="149">
        <f>F105-G105</f>
        <v/>
      </c>
      <c r="I105" s="150">
        <f>IF(G105&gt;0,(F105-G105)/G105,0)</f>
        <v/>
      </c>
      <c r="J105" s="151" t="n"/>
      <c r="K105" s="86">
        <f>IF(H105&lt;&gt;0,H105/Resumen!$C$3,0)</f>
        <v/>
      </c>
      <c r="L105" s="152">
        <f>IF(F105&lt;&gt;0,F105/Resumen!$B$11,0)</f>
        <v/>
      </c>
      <c r="M105" s="96" t="n"/>
      <c r="N105" s="96" t="n"/>
    </row>
    <row r="106" ht="15" customHeight="1" s="80">
      <c r="A106" s="105" t="inlineStr">
        <is>
          <t>SUBTOTAL</t>
        </is>
      </c>
      <c r="B106" s="106" t="n"/>
      <c r="C106" s="106" t="n"/>
      <c r="D106" s="106" t="n"/>
      <c r="E106" s="106" t="n"/>
      <c r="F106" s="153">
        <f>SUM(F103:F105)</f>
        <v/>
      </c>
      <c r="G106" s="153">
        <f>SUM(G103:G105)</f>
        <v/>
      </c>
      <c r="H106" s="153">
        <f>F106-G106</f>
        <v/>
      </c>
      <c r="I106" s="154">
        <f>IF(G106&gt;0,(F106-G106)/G106,0)</f>
        <v/>
      </c>
      <c r="J106" s="106" t="n"/>
      <c r="K106" s="153">
        <f>SUM(K103:K105)</f>
        <v/>
      </c>
      <c r="L106" s="154">
        <f>SUM(L103:L105)</f>
        <v/>
      </c>
      <c r="M106" s="106" t="n"/>
      <c r="N106" s="106" t="n"/>
    </row>
    <row r="107" ht="15" customHeight="1" s="80">
      <c r="A107" s="90" t="n"/>
      <c r="B107" s="85" t="n"/>
      <c r="C107" s="156" t="n"/>
      <c r="D107" s="147" t="n"/>
      <c r="E107" s="155" t="n"/>
      <c r="F107" s="86" t="n"/>
      <c r="G107" s="86" t="n"/>
      <c r="H107" s="149" t="n"/>
      <c r="I107" s="150" t="n"/>
      <c r="J107" s="151" t="n"/>
      <c r="K107" s="86" t="n"/>
      <c r="L107" s="152" t="n"/>
      <c r="M107" s="96" t="n"/>
      <c r="N107" s="96" t="n"/>
    </row>
    <row r="108" ht="15" customHeight="1" s="80">
      <c r="A108" s="83" t="inlineStr">
        <is>
          <t>LETRAS</t>
        </is>
      </c>
      <c r="B108" s="85" t="n"/>
      <c r="C108" s="156" t="n"/>
      <c r="D108" s="147" t="n"/>
      <c r="E108" s="155" t="n"/>
      <c r="F108" s="86" t="n"/>
      <c r="G108" s="86" t="n"/>
      <c r="H108" s="149" t="n"/>
      <c r="I108" s="150" t="n"/>
      <c r="J108" s="151" t="n"/>
      <c r="K108" s="86" t="n"/>
      <c r="L108" s="152" t="n"/>
      <c r="M108" s="96" t="n"/>
      <c r="N108" s="96" t="n"/>
    </row>
    <row r="109" ht="15" customHeight="1" s="80">
      <c r="A109" s="136" t="inlineStr">
        <is>
          <t>Ticker</t>
        </is>
      </c>
      <c r="B109" s="136" t="inlineStr">
        <is>
          <t>Descripción</t>
        </is>
      </c>
      <c r="C109" s="136" t="inlineStr">
        <is>
          <t>Cantidad</t>
        </is>
      </c>
      <c r="D109" s="136" t="inlineStr">
        <is>
          <t>PPC Compra</t>
        </is>
      </c>
      <c r="E109" s="136" t="inlineStr">
        <is>
          <t>Precio Vivo</t>
        </is>
      </c>
      <c r="F109" s="136" t="inlineStr">
        <is>
          <t>Valor Actual</t>
        </is>
      </c>
      <c r="G109" s="136" t="inlineStr">
        <is>
          <t>Costo Total</t>
        </is>
      </c>
      <c r="H109" s="136" t="inlineStr">
        <is>
          <t>P&amp;L $</t>
        </is>
      </c>
      <c r="I109" s="136" t="inlineStr">
        <is>
          <t>P&amp;L %</t>
        </is>
      </c>
      <c r="J109" s="136" t="inlineStr">
        <is>
          <t>Var Día %</t>
        </is>
      </c>
      <c r="K109" s="136" t="inlineStr">
        <is>
          <t>P&amp;L USD</t>
        </is>
      </c>
      <c r="L109" s="136" t="inlineStr">
        <is>
          <t>Peso %</t>
        </is>
      </c>
      <c r="M109" s="136" t="inlineStr">
        <is>
          <t>Vencimiento</t>
        </is>
      </c>
      <c r="N109" s="136" t="inlineStr">
        <is>
          <t>Días</t>
        </is>
      </c>
    </row>
    <row r="110" ht="15" customHeight="1" s="80">
      <c r="A110" s="90" t="inlineStr">
        <is>
          <t>S15Y6</t>
        </is>
      </c>
      <c r="B110" s="85" t="inlineStr">
        <is>
          <t>Lecap May 2026</t>
        </is>
      </c>
      <c r="C110" s="86" t="n">
        <v>22276244</v>
      </c>
      <c r="D110" s="147" t="n">
        <v>1.03</v>
      </c>
      <c r="E110" s="148" t="n">
        <v>1.04</v>
      </c>
      <c r="F110" s="86">
        <f>C110*E110</f>
        <v/>
      </c>
      <c r="G110" s="86">
        <f>C110*D110</f>
        <v/>
      </c>
      <c r="H110" s="149">
        <f>F110-G110</f>
        <v/>
      </c>
      <c r="I110" s="150">
        <f>IF(G110&gt;0,(F110-G110)/G110,0)</f>
        <v/>
      </c>
      <c r="J110" s="151" t="n"/>
      <c r="K110" s="86">
        <f>IF(H110&lt;&gt;0,H110/Resumen!$C$3,0)</f>
        <v/>
      </c>
      <c r="L110" s="152">
        <f>IF(F110&lt;&gt;0,F110/Resumen!$B$11,0)</f>
        <v/>
      </c>
      <c r="M110" s="96" t="inlineStr">
        <is>
          <t>2026-05-15</t>
        </is>
      </c>
      <c r="N110" s="96" t="n">
        <v>24</v>
      </c>
    </row>
    <row r="111" ht="15" customHeight="1" s="80">
      <c r="A111" s="90" t="inlineStr">
        <is>
          <t>S17L6</t>
        </is>
      </c>
      <c r="B111" s="85" t="inlineStr">
        <is>
          <t>Lecap Jul 2026</t>
        </is>
      </c>
      <c r="C111" s="86" t="n">
        <v>22696099</v>
      </c>
      <c r="D111" s="147" t="n">
        <v>1.01</v>
      </c>
      <c r="E111" s="148" t="n">
        <v>1.02</v>
      </c>
      <c r="F111" s="86">
        <f>C111*E111</f>
        <v/>
      </c>
      <c r="G111" s="86">
        <f>C111*D111</f>
        <v/>
      </c>
      <c r="H111" s="149">
        <f>F111-G111</f>
        <v/>
      </c>
      <c r="I111" s="150">
        <f>IF(G111&gt;0,(F111-G111)/G111,0)</f>
        <v/>
      </c>
      <c r="J111" s="151" t="n"/>
      <c r="K111" s="86">
        <f>IF(H111&lt;&gt;0,H111/Resumen!$C$3,0)</f>
        <v/>
      </c>
      <c r="L111" s="152">
        <f>IF(F111&lt;&gt;0,F111/Resumen!$B$11,0)</f>
        <v/>
      </c>
      <c r="M111" s="96" t="inlineStr">
        <is>
          <t>2026-07-17</t>
        </is>
      </c>
      <c r="N111" s="96" t="n">
        <v>87</v>
      </c>
    </row>
    <row r="112" ht="15" customHeight="1" s="80">
      <c r="A112" s="90" t="inlineStr">
        <is>
          <t>S29Y6</t>
        </is>
      </c>
      <c r="B112" s="85" t="inlineStr">
        <is>
          <t>Lecap May 2026</t>
        </is>
      </c>
      <c r="C112" s="86" t="n">
        <v>51675407</v>
      </c>
      <c r="D112" s="147" t="n">
        <v>1.23</v>
      </c>
      <c r="E112" s="148" t="n">
        <v>1.29</v>
      </c>
      <c r="F112" s="86">
        <f>C112*E112</f>
        <v/>
      </c>
      <c r="G112" s="86">
        <f>C112*D112</f>
        <v/>
      </c>
      <c r="H112" s="149">
        <f>F112-G112</f>
        <v/>
      </c>
      <c r="I112" s="150">
        <f>IF(G112&gt;0,(F112-G112)/G112,0)</f>
        <v/>
      </c>
      <c r="J112" s="151" t="n"/>
      <c r="K112" s="86">
        <f>IF(H112&lt;&gt;0,H112/Resumen!$C$3,0)</f>
        <v/>
      </c>
      <c r="L112" s="152">
        <f>IF(F112&lt;&gt;0,F112/Resumen!$B$11,0)</f>
        <v/>
      </c>
      <c r="M112" s="96" t="inlineStr">
        <is>
          <t>2026-05-29</t>
        </is>
      </c>
      <c r="N112" s="96" t="n">
        <v>38</v>
      </c>
    </row>
    <row r="113" ht="15" customHeight="1" s="80">
      <c r="A113" s="90" t="inlineStr">
        <is>
          <t>S30N6</t>
        </is>
      </c>
      <c r="B113" s="85" t="inlineStr">
        <is>
          <t>Lecap Nov 2026</t>
        </is>
      </c>
      <c r="C113" s="86" t="n">
        <v>61652044</v>
      </c>
      <c r="D113" s="147" t="n">
        <v>1.04</v>
      </c>
      <c r="E113" s="148" t="n">
        <v>1.13</v>
      </c>
      <c r="F113" s="86">
        <f>C113*E113</f>
        <v/>
      </c>
      <c r="G113" s="86">
        <f>C113*D113</f>
        <v/>
      </c>
      <c r="H113" s="149">
        <f>F113-G113</f>
        <v/>
      </c>
      <c r="I113" s="150">
        <f>IF(G113&gt;0,(F113-G113)/G113,0)</f>
        <v/>
      </c>
      <c r="J113" s="151" t="n"/>
      <c r="K113" s="86">
        <f>IF(H113&lt;&gt;0,H113/Resumen!$C$3,0)</f>
        <v/>
      </c>
      <c r="L113" s="152">
        <f>IF(F113&lt;&gt;0,F113/Resumen!$B$11,0)</f>
        <v/>
      </c>
      <c r="M113" s="96" t="inlineStr">
        <is>
          <t>2026-11-30</t>
        </is>
      </c>
      <c r="N113" s="96" t="n">
        <v>223</v>
      </c>
    </row>
    <row r="114" ht="15" customHeight="1" s="80">
      <c r="A114" s="90" t="inlineStr">
        <is>
          <t>S30O6</t>
        </is>
      </c>
      <c r="B114" s="85" t="inlineStr">
        <is>
          <t>Lecap Oct 2026</t>
        </is>
      </c>
      <c r="C114" s="86" t="n">
        <v>19609712</v>
      </c>
      <c r="D114" s="147" t="n">
        <v>1.18</v>
      </c>
      <c r="E114" s="148" t="n">
        <v>1.2</v>
      </c>
      <c r="F114" s="86">
        <f>C114*E114</f>
        <v/>
      </c>
      <c r="G114" s="86">
        <f>C114*D114</f>
        <v/>
      </c>
      <c r="H114" s="149">
        <f>F114-G114</f>
        <v/>
      </c>
      <c r="I114" s="150">
        <f>IF(G114&gt;0,(F114-G114)/G114,0)</f>
        <v/>
      </c>
      <c r="J114" s="151" t="n"/>
      <c r="K114" s="86">
        <f>IF(H114&lt;&gt;0,H114/Resumen!$C$3,0)</f>
        <v/>
      </c>
      <c r="L114" s="152">
        <f>IF(F114&lt;&gt;0,F114/Resumen!$B$11,0)</f>
        <v/>
      </c>
      <c r="M114" s="96" t="inlineStr">
        <is>
          <t>2026-10-30</t>
        </is>
      </c>
      <c r="N114" s="96" t="n">
        <v>192</v>
      </c>
    </row>
    <row r="115" ht="15" customHeight="1" s="80">
      <c r="A115" s="90" t="inlineStr">
        <is>
          <t>S30S6</t>
        </is>
      </c>
      <c r="B115" s="85" t="inlineStr">
        <is>
          <t>Lecap Sep 2026</t>
        </is>
      </c>
      <c r="C115" s="86" t="n">
        <v>21927733</v>
      </c>
      <c r="D115" s="147" t="n">
        <v>1.05</v>
      </c>
      <c r="E115" s="148" t="n">
        <v>1.06</v>
      </c>
      <c r="F115" s="86">
        <f>C115*E115</f>
        <v/>
      </c>
      <c r="G115" s="86">
        <f>C115*D115</f>
        <v/>
      </c>
      <c r="H115" s="149">
        <f>F115-G115</f>
        <v/>
      </c>
      <c r="I115" s="150">
        <f>IF(G115&gt;0,(F115-G115)/G115,0)</f>
        <v/>
      </c>
      <c r="J115" s="151" t="n"/>
      <c r="K115" s="86">
        <f>IF(H115&lt;&gt;0,H115/Resumen!$C$3,0)</f>
        <v/>
      </c>
      <c r="L115" s="152">
        <f>IF(F115&lt;&gt;0,F115/Resumen!$B$11,0)</f>
        <v/>
      </c>
      <c r="M115" s="96" t="inlineStr">
        <is>
          <t>2026-09-30</t>
        </is>
      </c>
      <c r="N115" s="96" t="n">
        <v>162</v>
      </c>
    </row>
    <row r="116" ht="15" customHeight="1" s="80">
      <c r="A116" s="90" t="inlineStr">
        <is>
          <t>S31G6</t>
        </is>
      </c>
      <c r="B116" s="85" t="inlineStr">
        <is>
          <t>Lecap Ago 2026</t>
        </is>
      </c>
      <c r="C116" s="86" t="n">
        <v>58193540</v>
      </c>
      <c r="D116" s="147" t="n">
        <v>1.1</v>
      </c>
      <c r="E116" s="148" t="n">
        <v>1.17</v>
      </c>
      <c r="F116" s="86">
        <f>C116*E116</f>
        <v/>
      </c>
      <c r="G116" s="86">
        <f>C116*D116</f>
        <v/>
      </c>
      <c r="H116" s="149">
        <f>F116-G116</f>
        <v/>
      </c>
      <c r="I116" s="150">
        <f>IF(G116&gt;0,(F116-G116)/G116,0)</f>
        <v/>
      </c>
      <c r="J116" s="151" t="n"/>
      <c r="K116" s="86">
        <f>IF(H116&lt;&gt;0,H116/Resumen!$C$3,0)</f>
        <v/>
      </c>
      <c r="L116" s="152">
        <f>IF(F116&lt;&gt;0,F116/Resumen!$B$11,0)</f>
        <v/>
      </c>
      <c r="M116" s="96" t="inlineStr">
        <is>
          <t>2026-08-31</t>
        </is>
      </c>
      <c r="N116" s="96" t="n">
        <v>132</v>
      </c>
    </row>
    <row r="117" ht="15" customHeight="1" s="80">
      <c r="A117" s="90" t="inlineStr">
        <is>
          <t>X29Y6</t>
        </is>
      </c>
      <c r="B117" s="85" t="inlineStr">
        <is>
          <t>Lecer May 2026</t>
        </is>
      </c>
      <c r="C117" s="86" t="n">
        <v>9500000</v>
      </c>
      <c r="D117" s="147" t="n">
        <v>1.11</v>
      </c>
      <c r="E117" s="148" t="n">
        <v>1.16</v>
      </c>
      <c r="F117" s="86">
        <f>C117*E117</f>
        <v/>
      </c>
      <c r="G117" s="86">
        <f>C117*D117</f>
        <v/>
      </c>
      <c r="H117" s="149">
        <f>F117-G117</f>
        <v/>
      </c>
      <c r="I117" s="150">
        <f>IF(G117&gt;0,(F117-G117)/G117,0)</f>
        <v/>
      </c>
      <c r="J117" s="151" t="n"/>
      <c r="K117" s="86">
        <f>IF(H117&lt;&gt;0,H117/Resumen!$C$3,0)</f>
        <v/>
      </c>
      <c r="L117" s="152">
        <f>IF(F117&lt;&gt;0,F117/Resumen!$B$11,0)</f>
        <v/>
      </c>
      <c r="M117" s="96" t="inlineStr">
        <is>
          <t>2026-05-29</t>
        </is>
      </c>
      <c r="N117" s="96" t="n">
        <v>38</v>
      </c>
    </row>
    <row r="118" ht="15" customHeight="1" s="80">
      <c r="A118" s="105" t="inlineStr">
        <is>
          <t>SUBTOTAL</t>
        </is>
      </c>
      <c r="B118" s="106" t="n"/>
      <c r="C118" s="106" t="n"/>
      <c r="D118" s="106" t="n"/>
      <c r="E118" s="106" t="n"/>
      <c r="F118" s="153">
        <f>SUM(F110:F117)</f>
        <v/>
      </c>
      <c r="G118" s="153">
        <f>SUM(G110:G117)</f>
        <v/>
      </c>
      <c r="H118" s="153">
        <f>F118-G118</f>
        <v/>
      </c>
      <c r="I118" s="154">
        <f>IF(G118&gt;0,(F118-G118)/G118,0)</f>
        <v/>
      </c>
      <c r="J118" s="106" t="n"/>
      <c r="K118" s="153">
        <f>SUM(K110:K117)</f>
        <v/>
      </c>
      <c r="L118" s="154">
        <f>SUM(L110:L117)</f>
        <v/>
      </c>
      <c r="M118" s="106" t="n"/>
      <c r="N118" s="106" t="n"/>
    </row>
    <row r="119" ht="15" customHeight="1" s="80">
      <c r="A119" s="90" t="n"/>
      <c r="B119" s="85" t="n"/>
      <c r="C119" s="86" t="n"/>
      <c r="D119" s="147" t="n"/>
      <c r="E119" s="155" t="n"/>
      <c r="F119" s="86" t="n"/>
      <c r="G119" s="86" t="n"/>
      <c r="H119" s="149" t="n"/>
      <c r="I119" s="150" t="n"/>
      <c r="J119" s="151" t="n"/>
      <c r="K119" s="86" t="n"/>
      <c r="L119" s="152" t="n"/>
      <c r="M119" s="96" t="n"/>
      <c r="N119" s="86" t="n"/>
    </row>
    <row r="120" ht="15" customHeight="1" s="80">
      <c r="A120" s="105" t="n"/>
      <c r="B120" s="106" t="n"/>
      <c r="C120" s="106" t="n"/>
      <c r="D120" s="106" t="n"/>
      <c r="E120" s="106" t="n"/>
      <c r="F120" s="153" t="n"/>
      <c r="G120" s="153" t="n"/>
      <c r="H120" s="153" t="n"/>
      <c r="I120" s="154" t="n"/>
      <c r="J120" s="106" t="n"/>
      <c r="K120" s="153" t="n"/>
      <c r="L120" s="154" t="n"/>
      <c r="M120" s="106" t="n"/>
      <c r="N120" s="10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22C55E"/>
    <outlinePr summaryBelow="1" summaryRight="1"/>
    <pageSetUpPr fitToPage="0"/>
  </sheetPr>
  <dimension ref="A1:N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79" min="1" max="1"/>
    <col width="22" customWidth="1" style="79" min="2" max="2"/>
    <col width="14" customWidth="1" style="79" min="3" max="4"/>
    <col width="16" customWidth="1" style="79" min="5" max="5"/>
    <col width="18" customWidth="1" style="79" min="6" max="8"/>
    <col width="12" customWidth="1" style="79" min="9" max="9"/>
    <col width="10" customWidth="1" style="79" min="10" max="10"/>
    <col width="14" customWidth="1" style="79" min="11" max="11"/>
    <col width="10" customWidth="1" style="79" min="12" max="12"/>
    <col width="12" customWidth="1" style="79" min="13" max="13"/>
    <col width="14" customWidth="1" style="79" min="14" max="14"/>
  </cols>
  <sheetData>
    <row r="1" ht="17.25" customHeight="1" s="80">
      <c r="A1" s="157" t="inlineStr">
        <is>
          <t>BANCO PROVINCIA</t>
        </is>
      </c>
    </row>
    <row r="3" ht="15" customHeight="1" s="80">
      <c r="A3" s="83" t="inlineStr">
        <is>
          <t>ACCIONES</t>
        </is>
      </c>
    </row>
    <row r="4" ht="15" customHeight="1" s="80">
      <c r="A4" s="136" t="inlineStr">
        <is>
          <t>Ticker</t>
        </is>
      </c>
      <c r="B4" s="136" t="inlineStr">
        <is>
          <t>Descripción</t>
        </is>
      </c>
      <c r="C4" s="136" t="inlineStr">
        <is>
          <t>Cantidad</t>
        </is>
      </c>
      <c r="D4" s="136" t="inlineStr">
        <is>
          <t>PPC Compra</t>
        </is>
      </c>
      <c r="E4" s="136" t="inlineStr">
        <is>
          <t>Precio Vivo</t>
        </is>
      </c>
      <c r="F4" s="136" t="inlineStr">
        <is>
          <t>Valor Actual</t>
        </is>
      </c>
      <c r="G4" s="136" t="inlineStr">
        <is>
          <t>Costo Total</t>
        </is>
      </c>
      <c r="H4" s="136" t="inlineStr">
        <is>
          <t>P&amp;L $</t>
        </is>
      </c>
      <c r="I4" s="136" t="inlineStr">
        <is>
          <t>P&amp;L %</t>
        </is>
      </c>
      <c r="J4" s="136" t="inlineStr">
        <is>
          <t>Var Día %</t>
        </is>
      </c>
      <c r="K4" s="136" t="inlineStr">
        <is>
          <t>P&amp;L USD</t>
        </is>
      </c>
      <c r="L4" s="136" t="inlineStr">
        <is>
          <t>Peso %</t>
        </is>
      </c>
      <c r="M4" s="136" t="inlineStr">
        <is>
          <t>Vencimiento</t>
        </is>
      </c>
      <c r="N4" s="136" t="inlineStr">
        <is>
          <t>Días</t>
        </is>
      </c>
    </row>
    <row r="5" ht="15" customHeight="1" s="80">
      <c r="A5" s="90" t="inlineStr">
        <is>
          <t>ALUA</t>
        </is>
      </c>
      <c r="B5" s="85" t="inlineStr">
        <is>
          <t>Aluar</t>
        </is>
      </c>
      <c r="C5" s="86" t="n">
        <v>1731</v>
      </c>
      <c r="D5" s="147" t="n">
        <v>910</v>
      </c>
      <c r="E5" s="148">
        <f>googlefinance("BCBA:ALUA","price")</f>
        <v/>
      </c>
      <c r="F5" s="86">
        <f>C5*E5</f>
        <v/>
      </c>
      <c r="G5" s="86">
        <f>C5*D5</f>
        <v/>
      </c>
      <c r="H5" s="149">
        <f>F5-G5</f>
        <v/>
      </c>
      <c r="I5" s="150">
        <f>IF(G5&gt;0,(F5-G5)/G5,0)</f>
        <v/>
      </c>
      <c r="J5" s="151" t="n"/>
      <c r="K5" s="86">
        <f>IF(H5&lt;&gt;0,H5/Resumen!$C$3,0)</f>
        <v/>
      </c>
      <c r="L5" s="152">
        <f>IF(F5&lt;&gt;0,F5/Resumen!$B$11,0)</f>
        <v/>
      </c>
      <c r="M5" s="96" t="n"/>
      <c r="N5" s="96" t="n"/>
    </row>
    <row r="6" ht="15" customHeight="1" s="80">
      <c r="A6" s="90" t="inlineStr">
        <is>
          <t>BBAR</t>
        </is>
      </c>
      <c r="B6" s="85" t="inlineStr">
        <is>
          <t>BBVA Argentina</t>
        </is>
      </c>
      <c r="C6" s="86" t="n">
        <v>2259</v>
      </c>
      <c r="D6" s="147" t="n">
        <v>8860</v>
      </c>
      <c r="E6" s="148">
        <f>googlefinance("BCBA:BBAR","price")</f>
        <v/>
      </c>
      <c r="F6" s="86">
        <f>C6*E6</f>
        <v/>
      </c>
      <c r="G6" s="86">
        <f>C6*D6</f>
        <v/>
      </c>
      <c r="H6" s="149">
        <f>F6-G6</f>
        <v/>
      </c>
      <c r="I6" s="150">
        <f>IF(G6&gt;0,(F6-G6)/G6,0)</f>
        <v/>
      </c>
      <c r="J6" s="151" t="n"/>
      <c r="K6" s="86">
        <f>IF(H6&lt;&gt;0,H6/Resumen!$C$3,0)</f>
        <v/>
      </c>
      <c r="L6" s="152">
        <f>IF(F6&lt;&gt;0,F6/Resumen!$B$11,0)</f>
        <v/>
      </c>
      <c r="M6" s="96" t="n"/>
      <c r="N6" s="96" t="n"/>
    </row>
    <row r="7" ht="15" customHeight="1" s="80">
      <c r="A7" s="90" t="inlineStr">
        <is>
          <t>BMA</t>
        </is>
      </c>
      <c r="B7" s="85" t="inlineStr">
        <is>
          <t>Banco Macro</t>
        </is>
      </c>
      <c r="C7" s="86" t="n">
        <v>3709</v>
      </c>
      <c r="D7" s="147" t="n">
        <v>10716</v>
      </c>
      <c r="E7" s="148">
        <f>googlefinance("BCBA:BMA","price")</f>
        <v/>
      </c>
      <c r="F7" s="86">
        <f>C7*E7</f>
        <v/>
      </c>
      <c r="G7" s="86">
        <f>C7*D7</f>
        <v/>
      </c>
      <c r="H7" s="149">
        <f>F7-G7</f>
        <v/>
      </c>
      <c r="I7" s="150">
        <f>IF(G7&gt;0,(F7-G7)/G7,0)</f>
        <v/>
      </c>
      <c r="J7" s="151" t="n"/>
      <c r="K7" s="86">
        <f>IF(H7&lt;&gt;0,H7/Resumen!$C$3,0)</f>
        <v/>
      </c>
      <c r="L7" s="152">
        <f>IF(F7&lt;&gt;0,F7/Resumen!$B$11,0)</f>
        <v/>
      </c>
      <c r="M7" s="96" t="n"/>
      <c r="N7" s="96" t="n"/>
    </row>
    <row r="8" ht="15" customHeight="1" s="80">
      <c r="A8" s="90" t="inlineStr">
        <is>
          <t>CRES</t>
        </is>
      </c>
      <c r="B8" s="85" t="inlineStr">
        <is>
          <t>Cresud</t>
        </is>
      </c>
      <c r="C8" s="86" t="n">
        <v>10861</v>
      </c>
      <c r="D8" s="147" t="n">
        <v>928.45</v>
      </c>
      <c r="E8" s="148">
        <f>googlefinance("BCBA:CRES","price")</f>
        <v/>
      </c>
      <c r="F8" s="86">
        <f>C8*E8</f>
        <v/>
      </c>
      <c r="G8" s="86">
        <f>C8*D8</f>
        <v/>
      </c>
      <c r="H8" s="149">
        <f>F8-G8</f>
        <v/>
      </c>
      <c r="I8" s="150">
        <f>IF(G8&gt;0,(F8-G8)/G8,0)</f>
        <v/>
      </c>
      <c r="J8" s="151" t="n"/>
      <c r="K8" s="86">
        <f>IF(H8&lt;&gt;0,H8/Resumen!$C$3,0)</f>
        <v/>
      </c>
      <c r="L8" s="152">
        <f>IF(F8&lt;&gt;0,F8/Resumen!$B$11,0)</f>
        <v/>
      </c>
      <c r="M8" s="96" t="n"/>
      <c r="N8" s="96" t="n"/>
    </row>
    <row r="9" ht="15" customHeight="1" s="80">
      <c r="A9" s="90" t="inlineStr">
        <is>
          <t>GGAL</t>
        </is>
      </c>
      <c r="B9" s="85" t="inlineStr">
        <is>
          <t>Grupo Fin. Galicia</t>
        </is>
      </c>
      <c r="C9" s="86" t="n">
        <v>34160</v>
      </c>
      <c r="D9" s="147" t="n">
        <v>5046.24</v>
      </c>
      <c r="E9" s="148">
        <f>googlefinance("BCBA:GGAL","price")</f>
        <v/>
      </c>
      <c r="F9" s="86">
        <f>C9*E9</f>
        <v/>
      </c>
      <c r="G9" s="86">
        <f>C9*D9</f>
        <v/>
      </c>
      <c r="H9" s="149">
        <f>F9-G9</f>
        <v/>
      </c>
      <c r="I9" s="150">
        <f>IF(G9&gt;0,(F9-G9)/G9,0)</f>
        <v/>
      </c>
      <c r="J9" s="151" t="n"/>
      <c r="K9" s="86">
        <f>IF(H9&lt;&gt;0,H9/Resumen!$C$3,0)</f>
        <v/>
      </c>
      <c r="L9" s="152">
        <f>IF(F9&lt;&gt;0,F9/Resumen!$B$11,0)</f>
        <v/>
      </c>
      <c r="M9" s="96" t="n"/>
      <c r="N9" s="96" t="n"/>
    </row>
    <row r="10" ht="15" customHeight="1" s="80">
      <c r="A10" s="90" t="inlineStr">
        <is>
          <t>IRSA</t>
        </is>
      </c>
      <c r="B10" s="85" t="inlineStr">
        <is>
          <t>IRSA</t>
        </is>
      </c>
      <c r="C10" s="86" t="n">
        <v>218</v>
      </c>
      <c r="D10" s="147" t="n">
        <v>2320</v>
      </c>
      <c r="E10" s="148">
        <f>googlefinance("BCBA:IRSA","price")</f>
        <v/>
      </c>
      <c r="F10" s="86">
        <f>C10*E10</f>
        <v/>
      </c>
      <c r="G10" s="86">
        <f>C10*D10</f>
        <v/>
      </c>
      <c r="H10" s="149">
        <f>F10-G10</f>
        <v/>
      </c>
      <c r="I10" s="150">
        <f>IF(G10&gt;0,(F10-G10)/G10,0)</f>
        <v/>
      </c>
      <c r="J10" s="151" t="n"/>
      <c r="K10" s="86">
        <f>IF(H10&lt;&gt;0,H10/Resumen!$C$3,0)</f>
        <v/>
      </c>
      <c r="L10" s="152">
        <f>IF(F10&lt;&gt;0,F10/Resumen!$B$11,0)</f>
        <v/>
      </c>
      <c r="M10" s="96" t="n"/>
      <c r="N10" s="96" t="n"/>
    </row>
    <row r="11" ht="15" customHeight="1" s="80">
      <c r="A11" s="90" t="inlineStr">
        <is>
          <t>METR</t>
        </is>
      </c>
      <c r="B11" s="85" t="inlineStr">
        <is>
          <t>Metrogas</t>
        </is>
      </c>
      <c r="C11" s="86" t="n">
        <v>24752</v>
      </c>
      <c r="D11" s="147" t="n">
        <v>2028.85</v>
      </c>
      <c r="E11" s="148">
        <f>googlefinance("BCBA:METR","price")</f>
        <v/>
      </c>
      <c r="F11" s="86">
        <f>C11*E11</f>
        <v/>
      </c>
      <c r="G11" s="86">
        <f>C11*D11</f>
        <v/>
      </c>
      <c r="H11" s="149">
        <f>F11-G11</f>
        <v/>
      </c>
      <c r="I11" s="150">
        <f>IF(G11&gt;0,(F11-G11)/G11,0)</f>
        <v/>
      </c>
      <c r="J11" s="151" t="n"/>
      <c r="K11" s="86">
        <f>IF(H11&lt;&gt;0,H11/Resumen!$C$3,0)</f>
        <v/>
      </c>
      <c r="L11" s="152">
        <f>IF(F11&lt;&gt;0,F11/Resumen!$B$11,0)</f>
        <v/>
      </c>
      <c r="M11" s="96" t="n"/>
      <c r="N11" s="96" t="n"/>
    </row>
    <row r="12" ht="15" customHeight="1" s="80">
      <c r="A12" s="90" t="inlineStr">
        <is>
          <t>PAMP</t>
        </is>
      </c>
      <c r="B12" s="85" t="inlineStr">
        <is>
          <t>Pampa Energía</t>
        </is>
      </c>
      <c r="C12" s="86" t="n">
        <v>83344</v>
      </c>
      <c r="D12" s="147" t="n">
        <v>2584.63</v>
      </c>
      <c r="E12" s="148">
        <f>googlefinance("BCBA:PAMP","price")</f>
        <v/>
      </c>
      <c r="F12" s="86">
        <f>C12*E12</f>
        <v/>
      </c>
      <c r="G12" s="86">
        <f>C12*D12</f>
        <v/>
      </c>
      <c r="H12" s="149">
        <f>F12-G12</f>
        <v/>
      </c>
      <c r="I12" s="150">
        <f>IF(G12&gt;0,(F12-G12)/G12,0)</f>
        <v/>
      </c>
      <c r="J12" s="151" t="n"/>
      <c r="K12" s="86">
        <f>IF(H12&lt;&gt;0,H12/Resumen!$C$3,0)</f>
        <v/>
      </c>
      <c r="L12" s="152">
        <f>IF(F12&lt;&gt;0,F12/Resumen!$B$11,0)</f>
        <v/>
      </c>
      <c r="M12" s="96" t="n"/>
      <c r="N12" s="96" t="n"/>
    </row>
    <row r="13" ht="15" customHeight="1" s="80">
      <c r="A13" s="90" t="inlineStr">
        <is>
          <t>TGNO4</t>
        </is>
      </c>
      <c r="B13" s="85" t="inlineStr">
        <is>
          <t>Transp. Gas Norte</t>
        </is>
      </c>
      <c r="C13" s="86" t="n">
        <v>5375</v>
      </c>
      <c r="D13" s="147" t="n">
        <v>2823.53</v>
      </c>
      <c r="E13" s="148">
        <f>googlefinance("BCBA:TGNO4","price")</f>
        <v/>
      </c>
      <c r="F13" s="86">
        <f>C13*E13</f>
        <v/>
      </c>
      <c r="G13" s="86">
        <f>C13*D13</f>
        <v/>
      </c>
      <c r="H13" s="149">
        <f>F13-G13</f>
        <v/>
      </c>
      <c r="I13" s="150">
        <f>IF(G13&gt;0,(F13-G13)/G13,0)</f>
        <v/>
      </c>
      <c r="J13" s="151" t="n"/>
      <c r="K13" s="86">
        <f>IF(H13&lt;&gt;0,H13/Resumen!$C$3,0)</f>
        <v/>
      </c>
      <c r="L13" s="152">
        <f>IF(F13&lt;&gt;0,F13/Resumen!$B$11,0)</f>
        <v/>
      </c>
      <c r="M13" s="96" t="n"/>
      <c r="N13" s="96" t="n"/>
    </row>
    <row r="14" ht="15" customHeight="1" s="80">
      <c r="A14" s="90" t="inlineStr">
        <is>
          <t>YPFD</t>
        </is>
      </c>
      <c r="B14" s="85" t="inlineStr">
        <is>
          <t>YPF S.A.</t>
        </is>
      </c>
      <c r="C14" s="86" t="n">
        <v>13637</v>
      </c>
      <c r="D14" s="147" t="n">
        <v>27476.78</v>
      </c>
      <c r="E14" s="148">
        <f>googlefinance("BCBA:YPFD","price")</f>
        <v/>
      </c>
      <c r="F14" s="86">
        <f>C14*E14</f>
        <v/>
      </c>
      <c r="G14" s="86">
        <f>C14*D14</f>
        <v/>
      </c>
      <c r="H14" s="149">
        <f>F14-G14</f>
        <v/>
      </c>
      <c r="I14" s="150">
        <f>IF(G14&gt;0,(F14-G14)/G14,0)</f>
        <v/>
      </c>
      <c r="J14" s="151" t="n"/>
      <c r="K14" s="86">
        <f>IF(H14&lt;&gt;0,H14/Resumen!$C$3,0)</f>
        <v/>
      </c>
      <c r="L14" s="152">
        <f>IF(F14&lt;&gt;0,F14/Resumen!$B$11,0)</f>
        <v/>
      </c>
      <c r="M14" s="96" t="n"/>
      <c r="N14" s="96" t="n"/>
    </row>
    <row r="15" ht="15" customHeight="1" s="80">
      <c r="A15" s="105" t="inlineStr">
        <is>
          <t>SUBTOTAL</t>
        </is>
      </c>
      <c r="B15" s="106" t="n"/>
      <c r="C15" s="106" t="n"/>
      <c r="D15" s="106" t="n"/>
      <c r="E15" s="106" t="n"/>
      <c r="F15" s="153">
        <f>SUM(F5:F14)</f>
        <v/>
      </c>
      <c r="G15" s="153">
        <f>SUM(G5:G14)</f>
        <v/>
      </c>
      <c r="H15" s="153">
        <f>F15-G15</f>
        <v/>
      </c>
      <c r="I15" s="154">
        <f>IF(G15&gt;0,(F15-G15)/G15,0)</f>
        <v/>
      </c>
      <c r="J15" s="106" t="n"/>
      <c r="K15" s="153">
        <f>SUM(K5:K14)</f>
        <v/>
      </c>
      <c r="L15" s="154">
        <f>SUM(L5:L14)</f>
        <v/>
      </c>
      <c r="M15" s="106" t="n"/>
      <c r="N15" s="106" t="n"/>
    </row>
    <row r="17" ht="15" customHeight="1" s="80">
      <c r="A17" s="83" t="inlineStr">
        <is>
          <t>CEDEARs</t>
        </is>
      </c>
    </row>
    <row r="18" ht="15" customHeight="1" s="80">
      <c r="A18" s="136" t="inlineStr">
        <is>
          <t>Ticker</t>
        </is>
      </c>
      <c r="B18" s="136" t="inlineStr">
        <is>
          <t>Descripción</t>
        </is>
      </c>
      <c r="C18" s="136" t="inlineStr">
        <is>
          <t>Cantidad</t>
        </is>
      </c>
      <c r="D18" s="136" t="inlineStr">
        <is>
          <t>PPC Compra</t>
        </is>
      </c>
      <c r="E18" s="136" t="inlineStr">
        <is>
          <t>Precio Vivo</t>
        </is>
      </c>
      <c r="F18" s="136" t="inlineStr">
        <is>
          <t>Valor Actual</t>
        </is>
      </c>
      <c r="G18" s="136" t="inlineStr">
        <is>
          <t>Costo Total</t>
        </is>
      </c>
      <c r="H18" s="136" t="inlineStr">
        <is>
          <t>P&amp;L $</t>
        </is>
      </c>
      <c r="I18" s="136" t="inlineStr">
        <is>
          <t>P&amp;L %</t>
        </is>
      </c>
      <c r="J18" s="136" t="inlineStr">
        <is>
          <t>Var Día %</t>
        </is>
      </c>
      <c r="K18" s="136" t="inlineStr">
        <is>
          <t>P&amp;L USD</t>
        </is>
      </c>
      <c r="L18" s="136" t="inlineStr">
        <is>
          <t>Peso %</t>
        </is>
      </c>
      <c r="M18" s="136" t="inlineStr">
        <is>
          <t>Vencimiento</t>
        </is>
      </c>
      <c r="N18" s="136" t="inlineStr">
        <is>
          <t>Días</t>
        </is>
      </c>
    </row>
    <row r="19" ht="15" customHeight="1" s="80">
      <c r="A19" s="90" t="inlineStr">
        <is>
          <t>SPY</t>
        </is>
      </c>
      <c r="B19" s="85" t="inlineStr">
        <is>
          <t>SPDR S&amp;P 500</t>
        </is>
      </c>
      <c r="C19" s="86" t="n">
        <v>529</v>
      </c>
      <c r="D19" s="147" t="n">
        <v>28368</v>
      </c>
      <c r="E19" s="148">
        <f>googlefinance("BCBA:SPY","price")</f>
        <v/>
      </c>
      <c r="F19" s="86">
        <f>C19*E19</f>
        <v/>
      </c>
      <c r="G19" s="86">
        <f>C19*D19</f>
        <v/>
      </c>
      <c r="H19" s="149">
        <f>F19-G19</f>
        <v/>
      </c>
      <c r="I19" s="150">
        <f>IF(G19&gt;0,(F19-G19)/G19,0)</f>
        <v/>
      </c>
      <c r="J19" s="151" t="n"/>
      <c r="K19" s="86">
        <f>IF(H19&lt;&gt;0,H19/Resumen!$C$3,0)</f>
        <v/>
      </c>
      <c r="L19" s="152">
        <f>IF(F19&lt;&gt;0,F19/Resumen!$B$11,0)</f>
        <v/>
      </c>
      <c r="M19" s="96" t="n"/>
      <c r="N19" s="96" t="n"/>
    </row>
    <row r="20" ht="15" customHeight="1" s="80">
      <c r="A20" s="105" t="inlineStr">
        <is>
          <t>SUBTOTAL</t>
        </is>
      </c>
      <c r="B20" s="106" t="n"/>
      <c r="C20" s="106" t="n"/>
      <c r="D20" s="106" t="n"/>
      <c r="E20" s="106" t="n"/>
      <c r="F20" s="153">
        <f>SUM(F19:F19)</f>
        <v/>
      </c>
      <c r="G20" s="153">
        <f>SUM(G19:G19)</f>
        <v/>
      </c>
      <c r="H20" s="153">
        <f>F20-G20</f>
        <v/>
      </c>
      <c r="I20" s="154">
        <f>IF(G20&gt;0,(F20-G20)/G20,0)</f>
        <v/>
      </c>
      <c r="J20" s="106" t="n"/>
      <c r="K20" s="153">
        <f>SUM(K19:K19)</f>
        <v/>
      </c>
      <c r="L20" s="154">
        <f>SUM(L19:L19)</f>
        <v/>
      </c>
      <c r="M20" s="106" t="n"/>
      <c r="N20" s="106" t="n"/>
    </row>
    <row r="21" ht="15" customHeight="1" s="80">
      <c r="A21" s="90" t="n"/>
      <c r="B21" s="85" t="n"/>
      <c r="C21" s="86" t="n"/>
      <c r="D21" s="147" t="n"/>
      <c r="E21" s="155" t="n"/>
      <c r="F21" s="86" t="n"/>
      <c r="G21" s="86" t="n"/>
      <c r="H21" s="149" t="n"/>
      <c r="I21" s="150" t="n"/>
      <c r="J21" s="151" t="n"/>
      <c r="K21" s="86" t="n"/>
      <c r="L21" s="152" t="n"/>
      <c r="M21" s="96" t="n"/>
      <c r="N21" s="86" t="n"/>
    </row>
    <row r="22" ht="15" customHeight="1" s="80">
      <c r="A22" s="83" t="inlineStr">
        <is>
          <t>BONOS</t>
        </is>
      </c>
      <c r="B22" s="85" t="n"/>
      <c r="C22" s="86" t="n"/>
      <c r="D22" s="147" t="n"/>
      <c r="E22" s="155" t="n"/>
      <c r="F22" s="86" t="n"/>
      <c r="G22" s="86" t="n"/>
      <c r="H22" s="149" t="n"/>
      <c r="I22" s="150" t="n"/>
      <c r="J22" s="151" t="n"/>
      <c r="K22" s="86" t="n"/>
      <c r="L22" s="152" t="n"/>
      <c r="M22" s="96" t="n"/>
      <c r="N22" s="86" t="n"/>
    </row>
    <row r="23" ht="15" customHeight="1" s="80">
      <c r="A23" s="136" t="inlineStr">
        <is>
          <t>Ticker</t>
        </is>
      </c>
      <c r="B23" s="136" t="inlineStr">
        <is>
          <t>Descripción</t>
        </is>
      </c>
      <c r="C23" s="136" t="inlineStr">
        <is>
          <t>Cantidad</t>
        </is>
      </c>
      <c r="D23" s="136" t="inlineStr">
        <is>
          <t>PPC Compra</t>
        </is>
      </c>
      <c r="E23" s="136" t="inlineStr">
        <is>
          <t>Precio Vivo</t>
        </is>
      </c>
      <c r="F23" s="136" t="inlineStr">
        <is>
          <t>Valor Actual</t>
        </is>
      </c>
      <c r="G23" s="136" t="inlineStr">
        <is>
          <t>Costo Total</t>
        </is>
      </c>
      <c r="H23" s="136" t="inlineStr">
        <is>
          <t>P&amp;L $</t>
        </is>
      </c>
      <c r="I23" s="136" t="inlineStr">
        <is>
          <t>P&amp;L %</t>
        </is>
      </c>
      <c r="J23" s="136" t="inlineStr">
        <is>
          <t>Var Día %</t>
        </is>
      </c>
      <c r="K23" s="136" t="inlineStr">
        <is>
          <t>P&amp;L USD</t>
        </is>
      </c>
      <c r="L23" s="136" t="inlineStr">
        <is>
          <t>Peso %</t>
        </is>
      </c>
      <c r="M23" s="136" t="inlineStr">
        <is>
          <t>Vencimiento</t>
        </is>
      </c>
      <c r="N23" s="136" t="inlineStr">
        <is>
          <t>Días</t>
        </is>
      </c>
    </row>
    <row r="24" ht="15" customHeight="1" s="80">
      <c r="A24" s="90" t="inlineStr">
        <is>
          <t>AL30</t>
        </is>
      </c>
      <c r="B24" s="85" t="inlineStr">
        <is>
          <t>Bono Arg USD 2030</t>
        </is>
      </c>
      <c r="C24" s="86" t="n">
        <v>331620</v>
      </c>
      <c r="D24" s="147" t="n">
        <v>669.3</v>
      </c>
      <c r="E24" s="148" t="n">
        <v>905</v>
      </c>
      <c r="F24" s="86">
        <f>C24*E24</f>
        <v/>
      </c>
      <c r="G24" s="86">
        <f>C24*D24</f>
        <v/>
      </c>
      <c r="H24" s="149">
        <f>F24-G24</f>
        <v/>
      </c>
      <c r="I24" s="150">
        <f>IF(G24&gt;0,(F24-G24)/G24,0)</f>
        <v/>
      </c>
      <c r="J24" s="151" t="n"/>
      <c r="K24" s="86">
        <f>IF(H24&lt;&gt;0,H24/Resumen!$C$3,0)</f>
        <v/>
      </c>
      <c r="L24" s="152">
        <f>IF(F24&lt;&gt;0,F24/Resumen!$B$11,0)</f>
        <v/>
      </c>
      <c r="M24" s="96" t="inlineStr">
        <is>
          <t>2030-07-09</t>
        </is>
      </c>
      <c r="N24" s="96" t="n">
        <v>1553</v>
      </c>
    </row>
    <row r="25" ht="15" customHeight="1" s="80">
      <c r="A25" s="90" t="inlineStr">
        <is>
          <t>AL35</t>
        </is>
      </c>
      <c r="B25" s="85" t="inlineStr">
        <is>
          <t>Bono Arg USD 2035</t>
        </is>
      </c>
      <c r="C25" s="86" t="n">
        <v>117805</v>
      </c>
      <c r="D25" s="147" t="n">
        <v>576.89</v>
      </c>
      <c r="E25" s="148" t="n">
        <v>1118.96</v>
      </c>
      <c r="F25" s="86">
        <f>C25*E25</f>
        <v/>
      </c>
      <c r="G25" s="86">
        <f>C25*D25</f>
        <v/>
      </c>
      <c r="H25" s="149">
        <f>F25-G25</f>
        <v/>
      </c>
      <c r="I25" s="150">
        <f>IF(G25&gt;0,(F25-G25)/G25,0)</f>
        <v/>
      </c>
      <c r="J25" s="151" t="n"/>
      <c r="K25" s="86">
        <f>IF(H25&lt;&gt;0,H25/Resumen!$C$3,0)</f>
        <v/>
      </c>
      <c r="L25" s="152">
        <f>IF(F25&lt;&gt;0,F25/Resumen!$B$11,0)</f>
        <v/>
      </c>
      <c r="M25" s="96" t="inlineStr">
        <is>
          <t>2035-07-09</t>
        </is>
      </c>
      <c r="N25" s="96" t="n">
        <v>3379</v>
      </c>
    </row>
    <row r="26" ht="15" customHeight="1" s="80">
      <c r="A26" s="90" t="inlineStr">
        <is>
          <t>AL41</t>
        </is>
      </c>
      <c r="B26" s="85" t="inlineStr">
        <is>
          <t>Bono Arg USD 2041</t>
        </is>
      </c>
      <c r="C26" s="86" t="n">
        <v>65502</v>
      </c>
      <c r="D26" s="147" t="n">
        <v>458</v>
      </c>
      <c r="E26" s="148" t="n">
        <v>1042</v>
      </c>
      <c r="F26" s="86">
        <f>C26*E26</f>
        <v/>
      </c>
      <c r="G26" s="86">
        <f>C26*D26</f>
        <v/>
      </c>
      <c r="H26" s="149">
        <f>F26-G26</f>
        <v/>
      </c>
      <c r="I26" s="150">
        <f>IF(G26&gt;0,(F26-G26)/G26,0)</f>
        <v/>
      </c>
      <c r="J26" s="151" t="n"/>
      <c r="K26" s="86">
        <f>IF(H26&lt;&gt;0,H26/Resumen!$C$3,0)</f>
        <v/>
      </c>
      <c r="L26" s="152">
        <f>IF(F26&lt;&gt;0,F26/Resumen!$B$11,0)</f>
        <v/>
      </c>
      <c r="M26" s="96" t="inlineStr">
        <is>
          <t>2041-07-09</t>
        </is>
      </c>
      <c r="N26" s="96" t="n">
        <v>5571</v>
      </c>
    </row>
    <row r="27" ht="15" customHeight="1" s="80">
      <c r="A27" s="90" t="inlineStr">
        <is>
          <t>TX26</t>
        </is>
      </c>
      <c r="B27" s="85" t="inlineStr">
        <is>
          <t>Boncer 2% 2026</t>
        </is>
      </c>
      <c r="C27" s="86" t="n">
        <v>830105</v>
      </c>
      <c r="D27" s="147" t="n">
        <v>18.05</v>
      </c>
      <c r="E27" s="148" t="n">
        <v>13.53</v>
      </c>
      <c r="F27" s="86">
        <f>C27*E27</f>
        <v/>
      </c>
      <c r="G27" s="86">
        <f>C27*D27</f>
        <v/>
      </c>
      <c r="H27" s="149">
        <f>F27-G27</f>
        <v/>
      </c>
      <c r="I27" s="150">
        <f>IF(G27&gt;0,(F27-G27)/G27,0)</f>
        <v/>
      </c>
      <c r="J27" s="151" t="n"/>
      <c r="K27" s="86">
        <f>IF(H27&lt;&gt;0,H27/Resumen!$C$3,0)</f>
        <v/>
      </c>
      <c r="L27" s="152">
        <f>IF(F27&lt;&gt;0,F27/Resumen!$B$11,0)</f>
        <v/>
      </c>
      <c r="M27" s="96" t="inlineStr">
        <is>
          <t>2026-11-15</t>
        </is>
      </c>
      <c r="N27" s="96" t="n">
        <v>221</v>
      </c>
    </row>
    <row r="28" ht="15" customHeight="1" s="80">
      <c r="A28" s="90" t="inlineStr">
        <is>
          <t>TZX26</t>
        </is>
      </c>
      <c r="B28" s="85" t="inlineStr">
        <is>
          <t>Boncer Jun 2026</t>
        </is>
      </c>
      <c r="C28" s="86" t="n">
        <v>7815600</v>
      </c>
      <c r="D28" s="147" t="n">
        <v>2.56</v>
      </c>
      <c r="E28" s="148" t="n">
        <v>3.78</v>
      </c>
      <c r="F28" s="86">
        <f>C28*E28</f>
        <v/>
      </c>
      <c r="G28" s="86">
        <f>C28*D28</f>
        <v/>
      </c>
      <c r="H28" s="149">
        <f>F28-G28</f>
        <v/>
      </c>
      <c r="I28" s="150">
        <f>IF(G28&gt;0,(F28-G28)/G28,0)</f>
        <v/>
      </c>
      <c r="J28" s="151" t="n"/>
      <c r="K28" s="86">
        <f>IF(H28&lt;&gt;0,H28/Resumen!$C$3,0)</f>
        <v/>
      </c>
      <c r="L28" s="152">
        <f>IF(F28&lt;&gt;0,F28/Resumen!$B$11,0)</f>
        <v/>
      </c>
      <c r="M28" s="96" t="inlineStr">
        <is>
          <t>2026-06-30</t>
        </is>
      </c>
      <c r="N28" s="96" t="n">
        <v>83</v>
      </c>
    </row>
    <row r="29" ht="15" customHeight="1" s="80">
      <c r="A29" s="90" t="inlineStr">
        <is>
          <t>BPOC7</t>
        </is>
      </c>
      <c r="B29" s="85" t="inlineStr">
        <is>
          <t>Bopreal 1C 2027</t>
        </is>
      </c>
      <c r="C29" s="86" t="n">
        <v>7148</v>
      </c>
      <c r="D29" s="147" t="n">
        <v>1398.5</v>
      </c>
      <c r="E29" s="148" t="n">
        <v>1474.85</v>
      </c>
      <c r="F29" s="86">
        <f>C29*E29</f>
        <v/>
      </c>
      <c r="G29" s="86">
        <f>C29*D29</f>
        <v/>
      </c>
      <c r="H29" s="149">
        <f>F29-G29</f>
        <v/>
      </c>
      <c r="I29" s="150">
        <f>IF(G29&gt;0,(F29-G29)/G29,0)</f>
        <v/>
      </c>
      <c r="J29" s="151" t="n"/>
      <c r="K29" s="86">
        <f>IF(H29&lt;&gt;0,H29/Resumen!$C$3,0)</f>
        <v/>
      </c>
      <c r="L29" s="152">
        <f>IF(F29&lt;&gt;0,F29/Resumen!$B$11,0)</f>
        <v/>
      </c>
      <c r="M29" s="96" t="inlineStr">
        <is>
          <t>2027-10-31</t>
        </is>
      </c>
      <c r="N29" s="96" t="n">
        <v>571</v>
      </c>
    </row>
    <row r="30" ht="15" customHeight="1" s="80">
      <c r="A30" s="90" t="inlineStr">
        <is>
          <t>BPY26</t>
        </is>
      </c>
      <c r="B30" s="85" t="inlineStr">
        <is>
          <t>Bopreal S3 2026</t>
        </is>
      </c>
      <c r="C30" s="86" t="n">
        <v>25000</v>
      </c>
      <c r="D30" s="147" t="n">
        <v>527.5</v>
      </c>
      <c r="E30" s="148" t="n">
        <v>527.5</v>
      </c>
      <c r="F30" s="86">
        <f>C30*E30</f>
        <v/>
      </c>
      <c r="G30" s="86">
        <f>C30*D30</f>
        <v/>
      </c>
      <c r="H30" s="149">
        <f>F30-G30</f>
        <v/>
      </c>
      <c r="I30" s="150">
        <f>IF(G30&gt;0,(F30-G30)/G30,0)</f>
        <v/>
      </c>
      <c r="J30" s="151" t="n"/>
      <c r="K30" s="86">
        <f>IF(H30&lt;&gt;0,H30/Resumen!$C$3,0)</f>
        <v/>
      </c>
      <c r="L30" s="152">
        <f>IF(F30&lt;&gt;0,F30/Resumen!$B$11,0)</f>
        <v/>
      </c>
      <c r="M30" s="96" t="inlineStr">
        <is>
          <t>2026-05-31</t>
        </is>
      </c>
      <c r="N30" s="96" t="n">
        <v>53</v>
      </c>
    </row>
    <row r="31" ht="15" customHeight="1" s="80">
      <c r="A31" s="90" t="inlineStr">
        <is>
          <t>BPOA8</t>
        </is>
      </c>
      <c r="B31" s="85" t="inlineStr">
        <is>
          <t>Bopreal 4A 2028</t>
        </is>
      </c>
      <c r="C31" s="86" t="n">
        <v>8071</v>
      </c>
      <c r="D31" s="147" t="n">
        <v>1295</v>
      </c>
      <c r="E31" s="148" t="n">
        <v>1295</v>
      </c>
      <c r="F31" s="86">
        <f>C31*E31</f>
        <v/>
      </c>
      <c r="G31" s="86">
        <f>C31*D31</f>
        <v/>
      </c>
      <c r="H31" s="149">
        <f>F31-G31</f>
        <v/>
      </c>
      <c r="I31" s="150">
        <f>IF(G31&gt;0,(F31-G31)/G31,0)</f>
        <v/>
      </c>
      <c r="J31" s="151" t="n"/>
      <c r="K31" s="86">
        <f>IF(H31&lt;&gt;0,H31/Resumen!$C$3,0)</f>
        <v/>
      </c>
      <c r="L31" s="152">
        <f>IF(F31&lt;&gt;0,F31/Resumen!$B$11,0)</f>
        <v/>
      </c>
      <c r="M31" s="96" t="inlineStr">
        <is>
          <t>2028-10-31</t>
        </is>
      </c>
      <c r="N31" s="96" t="n">
        <v>924</v>
      </c>
    </row>
    <row r="32" ht="15" customHeight="1" s="80">
      <c r="A32" s="90" t="inlineStr">
        <is>
          <t>GD38</t>
        </is>
      </c>
      <c r="B32" s="85" t="inlineStr">
        <is>
          <t>Global USD 2038</t>
        </is>
      </c>
      <c r="C32" s="86" t="n">
        <v>34969</v>
      </c>
      <c r="D32" s="147" t="n">
        <v>1193</v>
      </c>
      <c r="E32" s="148" t="n">
        <v>1193</v>
      </c>
      <c r="F32" s="86">
        <f>C32*E32</f>
        <v/>
      </c>
      <c r="G32" s="86">
        <f>C32*D32</f>
        <v/>
      </c>
      <c r="H32" s="149">
        <f>F32-G32</f>
        <v/>
      </c>
      <c r="I32" s="150">
        <f>IF(G32&gt;0,(F32-G32)/G32,0)</f>
        <v/>
      </c>
      <c r="J32" s="151" t="n"/>
      <c r="K32" s="86">
        <f>IF(H32&lt;&gt;0,H32/Resumen!$C$3,0)</f>
        <v/>
      </c>
      <c r="L32" s="152">
        <f>IF(F32&lt;&gt;0,F32/Resumen!$B$11,0)</f>
        <v/>
      </c>
      <c r="M32" s="96" t="inlineStr">
        <is>
          <t>2038-01-09</t>
        </is>
      </c>
      <c r="N32" s="96" t="n">
        <v>4294</v>
      </c>
    </row>
    <row r="33" ht="15" customHeight="1" s="80">
      <c r="A33" s="105" t="inlineStr">
        <is>
          <t>SUBTOTAL</t>
        </is>
      </c>
      <c r="B33" s="106" t="n"/>
      <c r="C33" s="106" t="n"/>
      <c r="D33" s="106" t="n"/>
      <c r="E33" s="106" t="n"/>
      <c r="F33" s="153">
        <f>SUM(F24:F32)</f>
        <v/>
      </c>
      <c r="G33" s="153">
        <f>SUM(G24:G32)</f>
        <v/>
      </c>
      <c r="H33" s="153">
        <f>F33-G33</f>
        <v/>
      </c>
      <c r="I33" s="154">
        <f>IF(G33&gt;0,(F33-G33)/G33,0)</f>
        <v/>
      </c>
      <c r="J33" s="106" t="n"/>
      <c r="K33" s="153">
        <f>SUM(K24:K32)</f>
        <v/>
      </c>
      <c r="L33" s="154">
        <f>SUM(L24:L32)</f>
        <v/>
      </c>
      <c r="M33" s="106" t="n"/>
      <c r="N33" s="106" t="n"/>
    </row>
    <row r="35" ht="15" customHeight="1" s="80">
      <c r="A35" s="83" t="inlineStr">
        <is>
          <t>FCIs</t>
        </is>
      </c>
    </row>
    <row r="36" ht="15" customHeight="1" s="80">
      <c r="A36" s="136" t="inlineStr">
        <is>
          <t>Ticker</t>
        </is>
      </c>
      <c r="B36" s="136" t="inlineStr">
        <is>
          <t>Descripción</t>
        </is>
      </c>
      <c r="C36" s="136" t="inlineStr">
        <is>
          <t>Cantidad</t>
        </is>
      </c>
      <c r="D36" s="136" t="inlineStr">
        <is>
          <t>PPC Compra</t>
        </is>
      </c>
      <c r="E36" s="136" t="inlineStr">
        <is>
          <t>Precio Vivo</t>
        </is>
      </c>
      <c r="F36" s="136" t="inlineStr">
        <is>
          <t>Valor Actual</t>
        </is>
      </c>
      <c r="G36" s="136" t="inlineStr">
        <is>
          <t>Costo Total</t>
        </is>
      </c>
      <c r="H36" s="136" t="inlineStr">
        <is>
          <t>P&amp;L $</t>
        </is>
      </c>
      <c r="I36" s="136" t="inlineStr">
        <is>
          <t>P&amp;L %</t>
        </is>
      </c>
      <c r="J36" s="136" t="inlineStr">
        <is>
          <t>Var Día %</t>
        </is>
      </c>
      <c r="K36" s="136" t="inlineStr">
        <is>
          <t>P&amp;L USD</t>
        </is>
      </c>
      <c r="L36" s="136" t="inlineStr">
        <is>
          <t>Peso %</t>
        </is>
      </c>
      <c r="M36" s="136" t="inlineStr">
        <is>
          <t>Vencimiento</t>
        </is>
      </c>
      <c r="N36" s="136" t="inlineStr">
        <is>
          <t>Días</t>
        </is>
      </c>
    </row>
    <row r="37" ht="15" customHeight="1" s="80">
      <c r="A37" s="90" t="inlineStr">
        <is>
          <t>RAICES 7x24</t>
        </is>
      </c>
      <c r="B37" s="85" t="inlineStr">
        <is>
          <t>Raíces Ahorro Pesos</t>
        </is>
      </c>
      <c r="C37" s="86" t="n">
        <v>13715547.3309</v>
      </c>
      <c r="D37" s="147" t="n">
        <v>34.89</v>
      </c>
      <c r="E37" s="148" t="n">
        <v>35.19</v>
      </c>
      <c r="F37" s="86">
        <f>C37*E37</f>
        <v/>
      </c>
      <c r="G37" s="86">
        <f>C37*D37</f>
        <v/>
      </c>
      <c r="H37" s="149">
        <f>F37-G37</f>
        <v/>
      </c>
      <c r="I37" s="150">
        <f>IF(G37&gt;0,(F37-G37)/G37,0)</f>
        <v/>
      </c>
      <c r="J37" s="151" t="n"/>
      <c r="K37" s="86">
        <f>IF(H37&lt;&gt;0,H37/Resumen!$C$3,0)</f>
        <v/>
      </c>
      <c r="L37" s="152">
        <f>IF(F37&lt;&gt;0,F37/Resumen!$B$11,0)</f>
        <v/>
      </c>
      <c r="M37" s="96" t="n"/>
      <c r="N37" s="96" t="n"/>
    </row>
    <row r="38" ht="15" customHeight="1" s="80">
      <c r="A38" s="90" t="inlineStr">
        <is>
          <t>RAICES USD</t>
        </is>
      </c>
      <c r="B38" s="85" t="inlineStr">
        <is>
          <t>Raíces Dólares Plus (USD)</t>
        </is>
      </c>
      <c r="C38" s="86" t="n">
        <v>65642.58749999999</v>
      </c>
      <c r="D38" s="147" t="n">
        <v>1.268</v>
      </c>
      <c r="E38" s="148" t="n">
        <v>1.295</v>
      </c>
      <c r="F38" s="86">
        <f>C38*E38</f>
        <v/>
      </c>
      <c r="G38" s="86">
        <f>C38*D38</f>
        <v/>
      </c>
      <c r="H38" s="149">
        <f>F38-G38</f>
        <v/>
      </c>
      <c r="I38" s="150">
        <f>IF(G38&gt;0,(F38-G38)/G38,0)</f>
        <v/>
      </c>
      <c r="J38" s="151" t="n"/>
      <c r="K38" s="86">
        <f>IF(H38&lt;&gt;0,H38/Resumen!$C$3,0)</f>
        <v/>
      </c>
      <c r="L38" s="152">
        <f>IF(F38&lt;&gt;0,F38/Resumen!$B$11,0)</f>
        <v/>
      </c>
      <c r="M38" s="96" t="n"/>
      <c r="N38" s="96" t="n"/>
    </row>
    <row r="39" ht="15" customHeight="1" s="80">
      <c r="A39" s="105" t="inlineStr">
        <is>
          <t>SUBTOTAL</t>
        </is>
      </c>
      <c r="B39" s="106" t="n"/>
      <c r="C39" s="106" t="n"/>
      <c r="D39" s="106" t="n"/>
      <c r="E39" s="106" t="n"/>
      <c r="F39" s="153">
        <f>SUM(F37:F38)</f>
        <v/>
      </c>
      <c r="G39" s="153">
        <f>SUM(G37:G38)</f>
        <v/>
      </c>
      <c r="H39" s="153">
        <f>F39-G39</f>
        <v/>
      </c>
      <c r="I39" s="154">
        <f>IF(G39&gt;0,(F39-G39)/G39,0)</f>
        <v/>
      </c>
      <c r="J39" s="106" t="n"/>
      <c r="K39" s="153">
        <f>SUM(K37:K38)</f>
        <v/>
      </c>
      <c r="L39" s="154">
        <f>SUM(L37:L38)</f>
        <v/>
      </c>
      <c r="M39" s="106" t="n"/>
      <c r="N39" s="10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5" customWidth="1" style="79" min="1" max="1"/>
  </cols>
  <sheetData>
    <row r="1" ht="17.25" customHeight="1" s="80">
      <c r="A1" s="100" t="inlineStr">
        <is>
          <t>CÓMO FUNCIONA</t>
        </is>
      </c>
    </row>
    <row r="3" ht="15" customHeight="1" s="80">
      <c r="A3" s="158" t="inlineStr">
        <is>
          <t>Columna D (azul) = PPC Compra → editable, tu costo de compra</t>
        </is>
      </c>
    </row>
    <row r="4" ht="15" customHeight="1" s="80">
      <c r="A4" s="158" t="inlineStr">
        <is>
          <t>Columna E (verde) = Precio Vivo → GOOGLEFINANCE automático para acciones/CEDEARs</t>
        </is>
      </c>
    </row>
    <row r="5" ht="15" customHeight="1" s="80">
      <c r="A5" s="158" t="inlineStr">
        <is>
          <t>Columna E (gris) = Precio manual → bonos, ONs, FCIs, letras (editá cuando actualices)</t>
        </is>
      </c>
    </row>
    <row r="6" ht="15" customHeight="1" s="80">
      <c r="A6" s="158" t="inlineStr">
        <is>
          <t>Columnas F-I = se calculan solas (valor, costo, P&amp;L $, P&amp;L %)</t>
        </is>
      </c>
    </row>
    <row r="8" ht="15" customHeight="1" s="80">
      <c r="A8" s="159" t="inlineStr">
        <is>
          <t>GOOGLEFINANCE solo funciona en Google Sheets, NO en Excel de escritorio.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2026-04-08T14:07:30Z</dcterms:created>
  <dcterms:modified xmlns:dcterms="http://purl.org/dc/terms/" xmlns:xsi="http://www.w3.org/2001/XMLSchema-instance" xsi:type="dcterms:W3CDTF">2026-04-23T12:39:03Z</dcterms:modified>
  <cp:revision>8</cp:revision>
</cp:coreProperties>
</file>